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risk-control\"/>
    </mc:Choice>
  </mc:AlternateContent>
  <xr:revisionPtr revIDLastSave="0" documentId="13_ncr:1_{8615CC03-8CFF-45DB-955D-38B932555A47}" xr6:coauthVersionLast="47" xr6:coauthVersionMax="47" xr10:uidLastSave="{00000000-0000-0000-0000-000000000000}"/>
  <bookViews>
    <workbookView xWindow="-108" yWindow="-108" windowWidth="23256" windowHeight="12456" tabRatio="500" xr2:uid="{00000000-000D-0000-FFFF-FFFF00000000}"/>
  </bookViews>
  <sheets>
    <sheet name="Feuil1" sheetId="1" r:id="rId1"/>
    <sheet name="Cotation" sheetId="2" r:id="rId2"/>
  </sheets>
  <externalReferences>
    <externalReference r:id="rId3"/>
  </externalReferences>
  <definedNames>
    <definedName name="abc">#REF!</definedName>
    <definedName name="Cotation_EPI">#REF!</definedName>
    <definedName name="_xlnm.Print_Titles" localSheetId="0">Feuil1!$1:$12</definedName>
    <definedName name="_xlnm.Print_Area" localSheetId="1">Cotation!$A$1:$M$130</definedName>
    <definedName name="_xlnm.Print_Area" localSheetId="0">Feuil1!$A$1:$AA$44</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X14" i="1" l="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13" i="1"/>
  <c r="M71" i="2"/>
  <c r="J76" i="2" s="1"/>
  <c r="L71" i="2"/>
  <c r="L76" i="2" s="1"/>
  <c r="K71" i="2"/>
  <c r="H76" i="2" s="1"/>
  <c r="J71" i="2"/>
  <c r="F76" i="2" s="1"/>
  <c r="F71" i="2"/>
  <c r="C83" i="2" s="1"/>
  <c r="E71" i="2"/>
  <c r="D71" i="2"/>
  <c r="C71" i="2"/>
  <c r="C79" i="2" s="1"/>
  <c r="M70" i="2"/>
  <c r="L70" i="2"/>
  <c r="M76" i="2" s="1"/>
  <c r="K70" i="2"/>
  <c r="J70" i="2"/>
  <c r="F70" i="2"/>
  <c r="C85" i="2" s="1"/>
  <c r="E70" i="2"/>
  <c r="C86" i="2" s="1"/>
  <c r="D70" i="2"/>
  <c r="C70" i="2"/>
  <c r="M69" i="2"/>
  <c r="L69" i="2"/>
  <c r="K76" i="2" s="1"/>
  <c r="K69" i="2"/>
  <c r="G76" i="2" s="1"/>
  <c r="J69" i="2"/>
  <c r="F69" i="2"/>
  <c r="C81" i="2" s="1"/>
  <c r="E69" i="2"/>
  <c r="C84" i="2" s="1"/>
  <c r="D69" i="2"/>
  <c r="C80" i="2" s="1"/>
  <c r="C69" i="2"/>
  <c r="M68" i="2"/>
  <c r="L68" i="2"/>
  <c r="I76" i="2" s="1"/>
  <c r="K68" i="2"/>
  <c r="E76" i="2" s="1"/>
  <c r="J68" i="2"/>
  <c r="D76" i="2" s="1"/>
  <c r="F68" i="2"/>
  <c r="E68" i="2"/>
  <c r="C82" i="2" s="1"/>
  <c r="D68" i="2"/>
  <c r="C78" i="2" s="1"/>
  <c r="C68" i="2"/>
  <c r="C77" i="2" s="1"/>
  <c r="I41" i="2"/>
  <c r="H41" i="2"/>
  <c r="G41" i="2"/>
  <c r="D81" i="2" l="1"/>
  <c r="D86" i="2"/>
  <c r="D78" i="2"/>
  <c r="D83" i="2"/>
  <c r="D80" i="2"/>
  <c r="D85" i="2"/>
  <c r="D77" i="2"/>
  <c r="D82" i="2"/>
  <c r="D79" i="2"/>
  <c r="D84" i="2"/>
  <c r="G80" i="2"/>
  <c r="G85" i="2"/>
  <c r="G77" i="2"/>
  <c r="G82" i="2"/>
  <c r="G79" i="2"/>
  <c r="G84" i="2"/>
  <c r="G81" i="2"/>
  <c r="G86" i="2"/>
  <c r="G78" i="2"/>
  <c r="G83" i="2"/>
  <c r="H85" i="2"/>
  <c r="H77" i="2"/>
  <c r="H82" i="2"/>
  <c r="H79" i="2"/>
  <c r="H84" i="2"/>
  <c r="H81" i="2"/>
  <c r="H86" i="2"/>
  <c r="H78" i="2"/>
  <c r="H83" i="2"/>
  <c r="H80" i="2"/>
  <c r="L81" i="2"/>
  <c r="L86" i="2"/>
  <c r="L78" i="2"/>
  <c r="L83" i="2"/>
  <c r="L80" i="2"/>
  <c r="L85" i="2"/>
  <c r="L77" i="2"/>
  <c r="L82" i="2"/>
  <c r="L79" i="2"/>
  <c r="L84" i="2"/>
  <c r="F83" i="2"/>
  <c r="F80" i="2"/>
  <c r="F85" i="2"/>
  <c r="F77" i="2"/>
  <c r="F82" i="2"/>
  <c r="F79" i="2"/>
  <c r="F84" i="2"/>
  <c r="F81" i="2"/>
  <c r="F86" i="2"/>
  <c r="F78" i="2"/>
  <c r="E86" i="2"/>
  <c r="E78" i="2"/>
  <c r="E83" i="2"/>
  <c r="E80" i="2"/>
  <c r="E85" i="2"/>
  <c r="E77" i="2"/>
  <c r="E82" i="2"/>
  <c r="E79" i="2"/>
  <c r="E84" i="2"/>
  <c r="E81" i="2"/>
  <c r="I82" i="2"/>
  <c r="I79" i="2"/>
  <c r="I84" i="2"/>
  <c r="I81" i="2"/>
  <c r="I86" i="2"/>
  <c r="I78" i="2"/>
  <c r="I83" i="2"/>
  <c r="I80" i="2"/>
  <c r="I85" i="2"/>
  <c r="I77" i="2"/>
  <c r="K84" i="2"/>
  <c r="K81" i="2"/>
  <c r="K86" i="2"/>
  <c r="K78" i="2"/>
  <c r="K83" i="2"/>
  <c r="K80" i="2"/>
  <c r="K85" i="2"/>
  <c r="K77" i="2"/>
  <c r="K82" i="2"/>
  <c r="K79" i="2"/>
  <c r="M86" i="2"/>
  <c r="M78" i="2"/>
  <c r="M83" i="2"/>
  <c r="M80" i="2"/>
  <c r="M85" i="2"/>
  <c r="M77" i="2"/>
  <c r="M82" i="2"/>
  <c r="M79" i="2"/>
  <c r="M84" i="2"/>
  <c r="M81" i="2"/>
  <c r="J79" i="2"/>
  <c r="J84" i="2"/>
  <c r="J81" i="2"/>
  <c r="J86" i="2"/>
  <c r="J78" i="2"/>
  <c r="J83" i="2"/>
  <c r="J80" i="2"/>
  <c r="J85" i="2"/>
  <c r="J77" i="2"/>
  <c r="J82" i="2"/>
  <c r="AA43" i="1" l="1"/>
  <c r="Y43" i="1"/>
  <c r="W43" i="1"/>
  <c r="R43" i="1"/>
  <c r="M43" i="1"/>
  <c r="Z43" i="1" s="1"/>
  <c r="AA42" i="1"/>
  <c r="Y42" i="1"/>
  <c r="W42" i="1"/>
  <c r="R42" i="1"/>
  <c r="M42" i="1"/>
  <c r="Z42" i="1" s="1"/>
  <c r="AA41" i="1"/>
  <c r="Y41" i="1"/>
  <c r="W41" i="1"/>
  <c r="R41" i="1"/>
  <c r="M41" i="1"/>
  <c r="Z41" i="1" s="1"/>
  <c r="Y40" i="1"/>
  <c r="W40" i="1"/>
  <c r="R40" i="1"/>
  <c r="M40" i="1"/>
  <c r="Z40" i="1" s="1"/>
  <c r="AA39" i="1"/>
  <c r="Z39" i="1"/>
  <c r="Y39" i="1"/>
  <c r="W39" i="1"/>
  <c r="R39" i="1"/>
  <c r="M39" i="1"/>
  <c r="AA38" i="1"/>
  <c r="Y38" i="1"/>
  <c r="W38" i="1"/>
  <c r="R38" i="1"/>
  <c r="M38" i="1"/>
  <c r="Z38" i="1" s="1"/>
  <c r="AA37" i="1"/>
  <c r="Y37" i="1"/>
  <c r="W37" i="1"/>
  <c r="R37" i="1"/>
  <c r="M37" i="1"/>
  <c r="Z37" i="1" s="1"/>
  <c r="AA36" i="1"/>
  <c r="Z36" i="1"/>
  <c r="Y36" i="1"/>
  <c r="W36" i="1"/>
  <c r="R36" i="1"/>
  <c r="M36" i="1"/>
  <c r="AA35" i="1"/>
  <c r="Y35" i="1"/>
  <c r="W35" i="1"/>
  <c r="R35" i="1"/>
  <c r="M35" i="1"/>
  <c r="Z35" i="1" s="1"/>
  <c r="AA34" i="1"/>
  <c r="Y34" i="1"/>
  <c r="W34" i="1"/>
  <c r="R34" i="1"/>
  <c r="M34" i="1"/>
  <c r="Z34" i="1" s="1"/>
  <c r="Y33" i="1"/>
  <c r="W33" i="1"/>
  <c r="R33" i="1"/>
  <c r="M33" i="1"/>
  <c r="Z33" i="1" s="1"/>
  <c r="AA32" i="1"/>
  <c r="Y32" i="1"/>
  <c r="W32" i="1"/>
  <c r="R32" i="1"/>
  <c r="M32" i="1"/>
  <c r="Z32" i="1" s="1"/>
  <c r="AA31" i="1"/>
  <c r="Y31" i="1"/>
  <c r="W31" i="1"/>
  <c r="R31" i="1"/>
  <c r="M31" i="1"/>
  <c r="Z31" i="1" s="1"/>
  <c r="AA30" i="1"/>
  <c r="Y30" i="1"/>
  <c r="W30" i="1"/>
  <c r="R30" i="1"/>
  <c r="M30" i="1"/>
  <c r="Z30" i="1" s="1"/>
  <c r="AA29" i="1"/>
  <c r="Y29" i="1"/>
  <c r="W29" i="1"/>
  <c r="R29" i="1"/>
  <c r="M29" i="1"/>
  <c r="Z29" i="1" s="1"/>
  <c r="AA28" i="1"/>
  <c r="Y28" i="1"/>
  <c r="W28" i="1"/>
  <c r="R28" i="1"/>
  <c r="M28" i="1"/>
  <c r="Z28" i="1" s="1"/>
  <c r="AA27" i="1"/>
  <c r="Y27" i="1"/>
  <c r="W27" i="1"/>
  <c r="R27" i="1"/>
  <c r="M27" i="1"/>
  <c r="Z27" i="1" s="1"/>
  <c r="AA26" i="1"/>
  <c r="Y26" i="1"/>
  <c r="W26" i="1"/>
  <c r="R26" i="1"/>
  <c r="M26" i="1"/>
  <c r="Z26" i="1" s="1"/>
  <c r="AA25" i="1"/>
  <c r="Y25" i="1"/>
  <c r="W25" i="1"/>
  <c r="R25" i="1"/>
  <c r="M25" i="1"/>
  <c r="Z25" i="1" s="1"/>
  <c r="AA24" i="1"/>
  <c r="Y24" i="1"/>
  <c r="W24" i="1"/>
  <c r="R24" i="1"/>
  <c r="M24" i="1"/>
  <c r="Z24" i="1" s="1"/>
  <c r="AA23" i="1"/>
  <c r="Y23" i="1"/>
  <c r="W23" i="1"/>
  <c r="R23" i="1"/>
  <c r="M23" i="1"/>
  <c r="Z23" i="1" s="1"/>
  <c r="AA22" i="1"/>
  <c r="Y22" i="1"/>
  <c r="W22" i="1"/>
  <c r="R22" i="1"/>
  <c r="M22" i="1"/>
  <c r="Z22" i="1" s="1"/>
  <c r="AA21" i="1"/>
  <c r="Y21" i="1"/>
  <c r="W21" i="1"/>
  <c r="R21" i="1"/>
  <c r="M21" i="1"/>
  <c r="Z21" i="1" s="1"/>
  <c r="AA20" i="1"/>
  <c r="Y20" i="1"/>
  <c r="W20" i="1"/>
  <c r="R20" i="1"/>
  <c r="M20" i="1"/>
  <c r="Z20" i="1" s="1"/>
  <c r="AA19" i="1"/>
  <c r="Y19" i="1"/>
  <c r="W19" i="1"/>
  <c r="R19" i="1"/>
  <c r="M19" i="1"/>
  <c r="Z19" i="1" s="1"/>
  <c r="AA18" i="1"/>
  <c r="Y18" i="1"/>
  <c r="W18" i="1"/>
  <c r="R18" i="1"/>
  <c r="M18" i="1"/>
  <c r="Z18" i="1" s="1"/>
  <c r="AA17" i="1"/>
  <c r="Y17" i="1"/>
  <c r="W17" i="1"/>
  <c r="R17" i="1"/>
  <c r="M17" i="1"/>
  <c r="Z17" i="1" s="1"/>
  <c r="AA16" i="1"/>
  <c r="Y16" i="1"/>
  <c r="W16" i="1"/>
  <c r="R16" i="1"/>
  <c r="M16" i="1"/>
  <c r="Z16" i="1" s="1"/>
  <c r="AA15" i="1"/>
  <c r="Y15" i="1"/>
  <c r="W15" i="1"/>
  <c r="R15" i="1"/>
  <c r="M15" i="1"/>
  <c r="Z15" i="1" s="1"/>
  <c r="Y14" i="1"/>
  <c r="W14" i="1"/>
  <c r="R14" i="1"/>
  <c r="M14" i="1"/>
  <c r="Z14" i="1" s="1"/>
  <c r="Y13" i="1"/>
  <c r="W13" i="1"/>
  <c r="R13" i="1"/>
  <c r="M13" i="1"/>
  <c r="Z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Jean</author>
  </authors>
  <commentList>
    <comment ref="J13" authorId="0" shapeId="0" xr:uid="{81B4AC92-996F-43A4-B137-A7BD8745BD1B}">
      <text>
        <r>
          <rPr>
            <b/>
            <sz val="9"/>
            <color indexed="81"/>
            <rFont val="Tahoma"/>
            <charset val="1"/>
          </rPr>
          <t xml:space="preserve">v1 = Rare : Quelques fois par an
2 = Peu fréquente : Quelques fois par mois
3 = Fréquente : Toutes les semaines
4 = Très fréquente : Tous les jours
</t>
        </r>
        <r>
          <rPr>
            <sz val="9"/>
            <color indexed="81"/>
            <rFont val="Tahoma"/>
            <charset val="1"/>
          </rPr>
          <t xml:space="preserve">
</t>
        </r>
      </text>
    </comment>
    <comment ref="K13" authorId="0" shapeId="0" xr:uid="{768FA37B-D5E2-4E96-9A4E-235D8A5A5618}">
      <text>
        <r>
          <rPr>
            <b/>
            <sz val="9"/>
            <color indexed="81"/>
            <rFont val="Tahoma"/>
            <charset val="1"/>
          </rPr>
          <t xml:space="preserve">1 = Physiquement possible, mais jamais arrivé sur le site ou sur d’autres site
2 = Déjà observé
3 = Observé une à plusieurs fois par an
4 = Observé régulièrement
+1 = Facteur aggravant
</t>
        </r>
        <r>
          <rPr>
            <sz val="9"/>
            <color indexed="81"/>
            <rFont val="Tahoma"/>
            <charset val="1"/>
          </rPr>
          <t xml:space="preserve">
</t>
        </r>
      </text>
    </comment>
    <comment ref="L13" authorId="0" shapeId="0" xr:uid="{5DEAE85C-B6F4-4B95-BE32-D68A484333CE}">
      <text>
        <r>
          <rPr>
            <b/>
            <sz val="9"/>
            <color indexed="81"/>
            <rFont val="Tahoma"/>
            <charset val="1"/>
          </rPr>
          <t xml:space="preserve">1 = Faible: Accident bénin avec soins / incident
2 = Modérée: AAA de quelques jours
3 = Elevée: AAA&lt;1mois / départ incendie / effets réversibles sur la santé 
4 = très élevée : effets irréversibles sur la santé / décès
+ 1 = Facteur aggravant </t>
        </r>
        <r>
          <rPr>
            <sz val="9"/>
            <color indexed="81"/>
            <rFont val="Tahoma"/>
            <charset val="1"/>
          </rPr>
          <t xml:space="preserve">
 </t>
        </r>
      </text>
    </comment>
    <comment ref="J14" authorId="0" shapeId="0" xr:uid="{BDC30627-447C-4CB7-8FA0-0B9103CBC443}">
      <text>
        <r>
          <rPr>
            <b/>
            <sz val="9"/>
            <color indexed="81"/>
            <rFont val="Tahoma"/>
            <charset val="1"/>
          </rPr>
          <t xml:space="preserve">1 = Rare : Quelques fois par an
2 = Peu fréquente : Quelques fois par mois
3 = Fréquente : Toutes les semaines
4 = Très fréquente : Tous les jours
</t>
        </r>
      </text>
    </comment>
    <comment ref="K14" authorId="0" shapeId="0" xr:uid="{BC233F49-68D3-47D7-B100-5B7A9214FB41}">
      <text>
        <r>
          <rPr>
            <b/>
            <sz val="9"/>
            <color indexed="81"/>
            <rFont val="Tahoma"/>
            <charset val="1"/>
          </rPr>
          <t xml:space="preserve">1 = Physiquement possible, mais jamais arrivé sur le site ou sur d’autres site
2 = Déjà observé
3 = Observé une à plusieurs fois par an
4 = Observé régulièrement
+1 = Facteur aggravant
</t>
        </r>
        <r>
          <rPr>
            <sz val="9"/>
            <color indexed="81"/>
            <rFont val="Tahoma"/>
            <charset val="1"/>
          </rPr>
          <t xml:space="preserve">
</t>
        </r>
      </text>
    </comment>
    <comment ref="J15" authorId="0" shapeId="0" xr:uid="{7506C256-58AE-4DF9-AB13-947C061247B2}">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15" authorId="0" shapeId="0" xr:uid="{9F59E3B7-5CA7-4823-89C4-940DEBD478CF}">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16" authorId="0" shapeId="0" xr:uid="{9D29DEED-E296-496B-ABDA-674C66EAE4D3}">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16" authorId="0" shapeId="0" xr:uid="{D3ACBD51-289A-449B-8FBA-9FCD04864EBD}">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17" authorId="0" shapeId="0" xr:uid="{30F0CF3C-B250-4B68-AEBE-080CC266DA93}">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17" authorId="0" shapeId="0" xr:uid="{52E0EE51-1D3E-4BA9-9C10-22D798A496C2}">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18" authorId="0" shapeId="0" xr:uid="{DD7D30FF-79F7-4FFF-9098-8CAFBFA6A90D}">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18" authorId="0" shapeId="0" xr:uid="{FEF7E095-A42C-4758-B253-D18C45F7E575}">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19" authorId="0" shapeId="0" xr:uid="{2ED180B5-708E-45ED-A620-A89AF0867C84}">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19" authorId="0" shapeId="0" xr:uid="{BAE2C968-C4DA-4E6C-BAF5-3D1B5AB44F00}">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0" authorId="0" shapeId="0" xr:uid="{C4DABDE5-81DA-4980-8608-0B4DE7486A74}">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0" authorId="0" shapeId="0" xr:uid="{B89DD0C8-A61E-4DB8-B4F3-BE51CEF082FE}">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1" authorId="0" shapeId="0" xr:uid="{D9B4E70A-0482-42B6-BE84-E66B61E6A6C9}">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1" authorId="0" shapeId="0" xr:uid="{E2096C16-2931-4623-AA31-6D7AAC74D8AF}">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2" authorId="0" shapeId="0" xr:uid="{D40561BA-4B93-4777-9F95-E5680B8D6E62}">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2" authorId="0" shapeId="0" xr:uid="{D77072BF-B55D-4908-A7B9-3050D329BDB4}">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3" authorId="0" shapeId="0" xr:uid="{5CC23B31-00B1-4E4F-A08C-90EDAFACC65F}">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3" authorId="0" shapeId="0" xr:uid="{40C8DE5F-E024-4773-A00B-80614FCE25FA}">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4" authorId="0" shapeId="0" xr:uid="{C46AE9A2-AF3F-4B9F-8065-7847BD8856AC}">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4" authorId="0" shapeId="0" xr:uid="{293828E0-55F9-4589-BF87-BF8BC118BDED}">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5" authorId="0" shapeId="0" xr:uid="{5BDF11AE-B998-4036-A7C9-9D4B5712BF13}">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5" authorId="0" shapeId="0" xr:uid="{CE38A556-E83B-4AB0-B4B8-829879D78E54}">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6" authorId="0" shapeId="0" xr:uid="{3F3FC718-9387-48E2-89D8-5D142537F089}">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6" authorId="0" shapeId="0" xr:uid="{EFFEA7EC-4603-4671-BC91-D35E1C012BF4}">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7" authorId="0" shapeId="0" xr:uid="{368CA9C8-9393-4369-B60E-78CC16151C35}">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7" authorId="0" shapeId="0" xr:uid="{ADF06B7B-EFC4-4AA6-8CDB-41E02620865C}">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8" authorId="0" shapeId="0" xr:uid="{E05BDBA9-4389-4945-8CEF-DA25A80715FB}">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8" authorId="0" shapeId="0" xr:uid="{506361D9-AC92-486A-8976-2DF191CEA28D}">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29" authorId="0" shapeId="0" xr:uid="{531772B9-7666-4CFC-8E22-506DA01CFA81}">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29" authorId="0" shapeId="0" xr:uid="{58A25C58-3B2A-4E89-9C1E-4598D5CA6D28}">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0" authorId="0" shapeId="0" xr:uid="{E1C3001E-18CC-4F02-B361-BD125B23C367}">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0" authorId="0" shapeId="0" xr:uid="{056A6784-6687-4390-B82D-25FB78643772}">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1" authorId="0" shapeId="0" xr:uid="{816322B8-BE0F-4BBC-A27B-28DC35A48280}">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1" authorId="0" shapeId="0" xr:uid="{1AEB1108-8DC9-4C51-B9EF-41B9EF959268}">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2" authorId="0" shapeId="0" xr:uid="{8979BB10-AD4A-49CE-B8C5-D32882D9DE0C}">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2" authorId="0" shapeId="0" xr:uid="{3BA9DAF4-B049-4E33-8E12-10094F6FD12B}">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3" authorId="0" shapeId="0" xr:uid="{6A4B947D-A5D7-4673-8E9F-7EDB9A56E585}">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3" authorId="0" shapeId="0" xr:uid="{8CD59802-01C7-4A50-BC68-A3E030FDE786}">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4" authorId="0" shapeId="0" xr:uid="{21F5BF30-F864-4F46-81B5-39AD02CEF508}">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4" authorId="0" shapeId="0" xr:uid="{6E2A8782-FDAB-497D-806F-244E01DC324E}">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5" authorId="0" shapeId="0" xr:uid="{9D84B2C2-B180-4328-8B47-2431E9603D99}">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5" authorId="0" shapeId="0" xr:uid="{6411D212-978D-4617-9D75-07B49F9E68E3}">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6" authorId="0" shapeId="0" xr:uid="{3837901F-9684-4CE3-BD96-78E5B6C1E160}">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6" authorId="0" shapeId="0" xr:uid="{22F15EB1-A7AB-4A6E-8D8F-3E49F61172D0}">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7" authorId="0" shapeId="0" xr:uid="{8A63BF0A-5275-420E-8961-2E1358E9DBDF}">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7" authorId="0" shapeId="0" xr:uid="{D2295E3B-8D85-47F4-8D46-EADF362CEE6E}">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8" authorId="0" shapeId="0" xr:uid="{1123039F-5B7B-4F97-9B97-09A92D608ED1}">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8" authorId="0" shapeId="0" xr:uid="{FC4D3AF8-AF96-4795-8AC7-21090D883B92}">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39" authorId="0" shapeId="0" xr:uid="{2DBFF1D7-673D-4EA6-96A2-8C49E247EA0D}">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39" authorId="0" shapeId="0" xr:uid="{20218BA0-9024-465C-A1FA-BAD7A41FADA6}">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40" authorId="0" shapeId="0" xr:uid="{2405E8DD-54FC-4A04-9E57-6E92C3D64D12}">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40" authorId="0" shapeId="0" xr:uid="{09C72373-71D0-4B70-AD1E-C2B3A296A196}">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41" authorId="0" shapeId="0" xr:uid="{6890B30C-26ED-4DF6-90B0-B7D66EF805B5}">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41" authorId="0" shapeId="0" xr:uid="{873CFE5E-0A50-4991-98AD-6C14FFA4934C}">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42" authorId="0" shapeId="0" xr:uid="{697CFD64-990E-4690-981A-19C43DA901F6}">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42" authorId="0" shapeId="0" xr:uid="{E737774C-2028-4F05-AA25-E99D905591BE}">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 ref="J43" authorId="0" shapeId="0" xr:uid="{15D1D608-A5B6-4C7B-8378-23C8DE19AB88}">
      <text>
        <r>
          <rPr>
            <b/>
            <sz val="9"/>
            <color indexed="81"/>
            <rFont val="Tahoma"/>
            <charset val="1"/>
          </rPr>
          <t xml:space="preserve">1 = Rare : Quelques fois par an
2 = Peu fréquente : Quelques fois par mois
3 = Fréquente : Toutes les semaines
4 = Très fréquente : Tous les jours
</t>
        </r>
        <r>
          <rPr>
            <sz val="9"/>
            <color indexed="81"/>
            <rFont val="Tahoma"/>
            <charset val="1"/>
          </rPr>
          <t xml:space="preserve">
</t>
        </r>
      </text>
    </comment>
    <comment ref="K43" authorId="0" shapeId="0" xr:uid="{9DF1E52B-2939-496F-B874-6546B21E07EC}">
      <text>
        <r>
          <rPr>
            <b/>
            <sz val="9"/>
            <color indexed="81"/>
            <rFont val="Tahoma"/>
            <charset val="1"/>
          </rPr>
          <t xml:space="preserve">1 = Physiquement possible, mais jamais arrivé sur le site ou sur d’autres site
2 = Déjà observé
3 = Observé une à plusieurs fois par an
4 = Observé régulièrement
+1 = Facteur aggravant
</t>
        </r>
      </text>
    </comment>
  </commentList>
</comments>
</file>

<file path=xl/sharedStrings.xml><?xml version="1.0" encoding="utf-8"?>
<sst xmlns="http://schemas.openxmlformats.org/spreadsheetml/2006/main" count="462" uniqueCount="157">
  <si>
    <t>Analyse pour établir un mode opératoire sécurité de l'intervention</t>
  </si>
  <si>
    <t>Intervention:</t>
  </si>
  <si>
    <t>Recherche de panne sur un équipement sous tension</t>
  </si>
  <si>
    <t>Dangers identifiés</t>
  </si>
  <si>
    <t>Famille de risques</t>
  </si>
  <si>
    <t>Risques associés à ces dangers et Nature des lésions probables
Facteurs aggravants potentiels</t>
  </si>
  <si>
    <t>Partie(s) du corps concernée(s)</t>
  </si>
  <si>
    <t>Cotation du risque potentiel</t>
  </si>
  <si>
    <t>Rp</t>
  </si>
  <si>
    <t>Moyens de maîtrise et leur cotation</t>
  </si>
  <si>
    <t>Cotation globale des moyens de maîtrise</t>
  </si>
  <si>
    <t>Niveau de maîtrise</t>
  </si>
  <si>
    <t>Cotation Rr</t>
  </si>
  <si>
    <t>Rr</t>
  </si>
  <si>
    <t>Tête (Crâne, Ouïe, Yeux, Nez, Mâchoire, Visage, Tête entière…)</t>
  </si>
  <si>
    <t>Membres supérieurs et/ou inférieurs (Mains, Bras, Jambres, Pieds…)</t>
  </si>
  <si>
    <t>Divers (Peau, Tronc, Abdomen, Dos, Localisations multiples, Corps entier…)</t>
  </si>
  <si>
    <t>Voies de pénétration (respiratoire, parentale…)</t>
  </si>
  <si>
    <t>Autres (préciser)</t>
  </si>
  <si>
    <t>F</t>
  </si>
  <si>
    <t>P</t>
  </si>
  <si>
    <t>G</t>
  </si>
  <si>
    <t>Mesures Techniques</t>
  </si>
  <si>
    <t>Cotation MT</t>
  </si>
  <si>
    <t>Facteurs Organisationnels et Humains</t>
  </si>
  <si>
    <t>Cotation FOH</t>
  </si>
  <si>
    <t>EPI</t>
  </si>
  <si>
    <t>Cotation EPI</t>
  </si>
  <si>
    <t>EPC</t>
  </si>
  <si>
    <t>Cotation EPC</t>
  </si>
  <si>
    <t>Mesures Organisationnelles</t>
  </si>
  <si>
    <t>Cotation MO</t>
  </si>
  <si>
    <t>Mesures Humaines</t>
  </si>
  <si>
    <t>Cotation MH</t>
  </si>
  <si>
    <t>Analyse liée à l'activité</t>
  </si>
  <si>
    <t>Equipement alimenté en électricité</t>
  </si>
  <si>
    <t>ELECTRIQUE</t>
  </si>
  <si>
    <t>Electrisation, électrocution car équipement alimenté, lors de la recherche de panne avec voltmètre</t>
  </si>
  <si>
    <t>Vérification et port des EPI :
- Gants isolants de type 00
- Casque avec visière
- Vêtements couvrant (avant-bras et jambes)</t>
  </si>
  <si>
    <t>Utilisation d'équipements adaptés à la tension et isolés</t>
  </si>
  <si>
    <t>Intervention d'ordre electrique à deux minimum
Permis spécifique de travail au voisinage de pièces nues sous tension
Une fois la recherche de panne réalisée sur l'équipement, celui-ci doit être CONSIGNE à partir de l'armoire (avec cadenas)</t>
  </si>
  <si>
    <t xml:space="preserve">Habilitation électrique de type BR </t>
  </si>
  <si>
    <t>Armoires alimentés en électricité</t>
  </si>
  <si>
    <t>Risque faible voir nul d'Electrisation, électrocution liées à l'intensité électrique circulant dans les armoires : armoires IP2X
Recherche panne avec voltmètre ou pince ohmétrique</t>
  </si>
  <si>
    <t>Non nécessaire</t>
  </si>
  <si>
    <t>Isolation des parties actives de l'appareil de test (pointe de touche isolée)</t>
  </si>
  <si>
    <t>Affichage réglementaire sur les armoires, fermées à clés. 
A l'ouverture de l'armoire, vérifier la présence de la protection IP2X. En cas d'anomalie constatée, porter les EPI et remonter l'anomalie.</t>
  </si>
  <si>
    <t>sans</t>
  </si>
  <si>
    <t>MECANIQUE</t>
  </si>
  <si>
    <t>Choisir</t>
  </si>
  <si>
    <t>CHUTE DE HAUTEUR</t>
  </si>
  <si>
    <t>MANUTENTION / ERGONOMIE</t>
  </si>
  <si>
    <t>Traité dans la partie environnement</t>
  </si>
  <si>
    <t>INCENDIE / EXPLOSION</t>
  </si>
  <si>
    <t>BRUIT / VIBRATIONS</t>
  </si>
  <si>
    <t>RAYONNEMENTS IONISANTS / NON IONISANTS</t>
  </si>
  <si>
    <t>BIOLOGIQUE</t>
  </si>
  <si>
    <t>CHIMIQUE</t>
  </si>
  <si>
    <t>CHUTE D'OBJETS</t>
  </si>
  <si>
    <t>ANOXIE</t>
  </si>
  <si>
    <t>CHUTE DE PLAIN PIED</t>
  </si>
  <si>
    <t>FLUIDES / SURPRESSION</t>
  </si>
  <si>
    <t xml:space="preserve"> dépannage à deux obligatoire</t>
  </si>
  <si>
    <t>TRAVAIL ISOLE</t>
  </si>
  <si>
    <t>Risque nul : le travail isolé est interdit</t>
  </si>
  <si>
    <t>AMBIANCE THERMIQUE / SURFACES CHAUDES OU FROIDES</t>
  </si>
  <si>
    <t>Analyse liée à l'environnement de travail</t>
  </si>
  <si>
    <t>traité dans la partie activité</t>
  </si>
  <si>
    <t>Armoires et équipement alimentés en électricité</t>
  </si>
  <si>
    <t>Déclenchement d'un incendie lié à la présence d'électricité dans l'armoire et l'équipement</t>
  </si>
  <si>
    <t>Détection incendie
Disjoncteur
Présence d'extincteur CO2 à proximité de l'intervention</t>
  </si>
  <si>
    <t>Repérer les équipements d'urgence à proximité (BAU, boitiers bris de glaces, extincteurs CO2…)
Ne pas stocker d'outils/équipements devant les extincteurs</t>
  </si>
  <si>
    <t>Intervenants sensibilisés au risque incendie lié à l'électricité et aux conduites à tenir en cas d'alarme feu</t>
  </si>
  <si>
    <t>Locaux techniques</t>
  </si>
  <si>
    <t xml:space="preserve">Risque de chute de plain-pied lors des déplacements en zone technique </t>
  </si>
  <si>
    <t>Chaussures de sécurité, casquettes de sécurité</t>
  </si>
  <si>
    <t>Tenir la rampe dans les escaliers
Regarder devant soi en marchant
Rester vigilant aux marches et sols glissants
Ranger le matériel hors des zones de passage et à la fin de chaque intervention</t>
  </si>
  <si>
    <t>Intervenants et collaborateurs sensibilisés aux risques de chute de plain pied</t>
  </si>
  <si>
    <t>Colonnes X et AA (cotation globale des moyens de maîtrise / Rr) : valeurs figées à l'identique de l'export d'origine — la table de cotation référencée (classeur externe) n'est pas jointe à ce fichier.</t>
  </si>
  <si>
    <t>MATRICES DE COTATION</t>
  </si>
  <si>
    <t>Risque potentiel (Rp)</t>
  </si>
  <si>
    <t>Abréviations</t>
  </si>
  <si>
    <t>Probabilité d'apparition de l'événement/accident</t>
  </si>
  <si>
    <t>Fréquence de la sous-activité</t>
  </si>
  <si>
    <t>Gravité de l'événement/accident</t>
  </si>
  <si>
    <t>Risque potentiel</t>
  </si>
  <si>
    <t>Cotation pour la Probabilité d'appartition de l'évènement/accident (P)</t>
  </si>
  <si>
    <t>Cotation pour la Fréquence de la sous-activité (F)</t>
  </si>
  <si>
    <t>Cotation pour la Gravité (G)</t>
  </si>
  <si>
    <t>Cotation donnée</t>
  </si>
  <si>
    <r>
      <rPr>
        <b/>
        <sz val="11"/>
        <color rgb="FF00B050"/>
        <rFont val="Calibri"/>
        <family val="2"/>
        <scheme val="minor"/>
      </rPr>
      <t>Improbable :</t>
    </r>
    <r>
      <rPr>
        <sz val="11"/>
        <color theme="1"/>
        <rFont val="Calibri"/>
        <family val="2"/>
        <charset val="1"/>
      </rPr>
      <t xml:space="preserve"> Physiquement possible, mais jamais arrivé sur le site ou sur d’autres sites de la R&amp;D </t>
    </r>
  </si>
  <si>
    <r>
      <rPr>
        <b/>
        <sz val="11"/>
        <color rgb="FF00B050"/>
        <rFont val="Calibri"/>
        <family val="2"/>
        <scheme val="minor"/>
      </rPr>
      <t xml:space="preserve">Rare : </t>
    </r>
    <r>
      <rPr>
        <sz val="11"/>
        <color theme="1"/>
        <rFont val="Calibri"/>
        <family val="2"/>
        <charset val="1"/>
      </rPr>
      <t>Quelques fois par an</t>
    </r>
  </si>
  <si>
    <r>
      <rPr>
        <b/>
        <sz val="11"/>
        <color rgb="FF00B050"/>
        <rFont val="Calibri"/>
        <family val="2"/>
        <scheme val="minor"/>
      </rPr>
      <t xml:space="preserve">Faible : </t>
    </r>
    <r>
      <rPr>
        <u/>
        <sz val="11"/>
        <color theme="1"/>
        <rFont val="Calibri"/>
        <family val="2"/>
        <scheme val="minor"/>
      </rPr>
      <t>Accident bénin avec soins/incident</t>
    </r>
    <r>
      <rPr>
        <sz val="11"/>
        <color theme="1"/>
        <rFont val="Calibri"/>
        <family val="2"/>
        <charset val="1"/>
      </rPr>
      <t xml:space="preserve"> : chute de plain-pied sans blessure, piqûre/morsure sans effets secondaires, hématome léger, irritation cutanée, projection oculaire sans séquelles, légère blessure (coupure, contusion)…</t>
    </r>
  </si>
  <si>
    <r>
      <rPr>
        <b/>
        <sz val="11"/>
        <color rgb="FFFFC000"/>
        <rFont val="Calibri"/>
        <family val="2"/>
        <scheme val="minor"/>
      </rPr>
      <t xml:space="preserve">Possible : </t>
    </r>
    <r>
      <rPr>
        <sz val="11"/>
        <color theme="1"/>
        <rFont val="Calibri"/>
        <family val="2"/>
        <charset val="1"/>
      </rPr>
      <t>Déjà observé sur le site ou sur d’autres sites de la R&amp;D</t>
    </r>
  </si>
  <si>
    <r>
      <rPr>
        <b/>
        <sz val="11"/>
        <color rgb="FFFFC000"/>
        <rFont val="Calibri"/>
        <family val="2"/>
        <scheme val="minor"/>
      </rPr>
      <t xml:space="preserve">Peu fréquente : </t>
    </r>
    <r>
      <rPr>
        <sz val="11"/>
        <color theme="1"/>
        <rFont val="Calibri"/>
        <family val="2"/>
        <charset val="1"/>
      </rPr>
      <t>Quelques fois par mois</t>
    </r>
  </si>
  <si>
    <r>
      <rPr>
        <b/>
        <sz val="11"/>
        <color rgb="FFFFC000"/>
        <rFont val="Calibri"/>
        <family val="2"/>
        <scheme val="minor"/>
      </rPr>
      <t xml:space="preserve">Modérée : </t>
    </r>
    <r>
      <rPr>
        <u/>
        <sz val="11"/>
        <color theme="1"/>
        <rFont val="Calibri"/>
        <family val="2"/>
        <scheme val="minor"/>
      </rPr>
      <t>Accident avec arrêt de quelques jours </t>
    </r>
    <r>
      <rPr>
        <sz val="11"/>
        <color theme="1"/>
        <rFont val="Calibri"/>
        <family val="2"/>
        <charset val="1"/>
      </rPr>
      <t>: coupure, TMS (lumbago), chute de plain-pied avec blessure, exposition faible à un produit irritant, légère contamination par des agents biologiques/chimiques, coupure, brûlure légère…</t>
    </r>
  </si>
  <si>
    <r>
      <rPr>
        <b/>
        <sz val="11"/>
        <color rgb="FFFF6600"/>
        <rFont val="Calibri"/>
        <family val="2"/>
        <scheme val="minor"/>
      </rPr>
      <t xml:space="preserve">Probable : </t>
    </r>
    <r>
      <rPr>
        <sz val="11"/>
        <color theme="1"/>
        <rFont val="Calibri"/>
        <family val="2"/>
        <charset val="1"/>
      </rPr>
      <t>Observé une à plusieurs fois par an sur le site ou sur d’autres sites de la R&amp;D</t>
    </r>
  </si>
  <si>
    <r>
      <rPr>
        <b/>
        <sz val="11"/>
        <color rgb="FFFF6600"/>
        <rFont val="Calibri"/>
        <family val="2"/>
        <scheme val="minor"/>
      </rPr>
      <t xml:space="preserve">Fréquente : </t>
    </r>
    <r>
      <rPr>
        <sz val="11"/>
        <color theme="1"/>
        <rFont val="Calibri"/>
        <family val="2"/>
        <charset val="1"/>
      </rPr>
      <t>Toutes les semaines</t>
    </r>
  </si>
  <si>
    <r>
      <rPr>
        <b/>
        <sz val="11"/>
        <color rgb="FFFF6600"/>
        <rFont val="Calibri"/>
        <family val="2"/>
        <scheme val="minor"/>
      </rPr>
      <t>Elevée :</t>
    </r>
    <r>
      <rPr>
        <sz val="11"/>
        <color theme="1"/>
        <rFont val="Calibri"/>
        <family val="2"/>
        <charset val="1"/>
      </rPr>
      <t xml:space="preserve"> </t>
    </r>
    <r>
      <rPr>
        <u/>
        <sz val="11"/>
        <color theme="1"/>
        <rFont val="Calibri"/>
        <family val="2"/>
        <scheme val="minor"/>
      </rPr>
      <t>Accident de travail avec arrêt &lt; 1 mois / départ incendie / effets réversibles sur la santé / accident potentiellement grave</t>
    </r>
    <r>
      <rPr>
        <sz val="11"/>
        <color theme="1"/>
        <rFont val="Calibri"/>
        <family val="2"/>
        <charset val="1"/>
      </rPr>
      <t xml:space="preserve"> : exposition à des produits chimiques nocifs ou irritants, chute de hauteur de moins de 3m, contamination par des agents biologiques de classe 2, entorse, fracture, électrisation…</t>
    </r>
  </si>
  <si>
    <r>
      <rPr>
        <b/>
        <sz val="11"/>
        <color rgb="FFFF0000"/>
        <rFont val="Calibri"/>
        <family val="2"/>
        <scheme val="minor"/>
      </rPr>
      <t>Très probable :</t>
    </r>
    <r>
      <rPr>
        <sz val="11"/>
        <color theme="1"/>
        <rFont val="Calibri"/>
        <family val="2"/>
        <charset val="1"/>
      </rPr>
      <t xml:space="preserve"> Observé régulièrement sur le site ou sur d’autres sites de la R&amp;D</t>
    </r>
  </si>
  <si>
    <r>
      <rPr>
        <b/>
        <sz val="11"/>
        <color rgb="FFFF0000"/>
        <rFont val="Calibri"/>
        <family val="2"/>
        <scheme val="minor"/>
      </rPr>
      <t xml:space="preserve">Très fréquente : </t>
    </r>
    <r>
      <rPr>
        <sz val="11"/>
        <color theme="1"/>
        <rFont val="Calibri"/>
        <family val="2"/>
        <charset val="1"/>
      </rPr>
      <t>Tous les jours</t>
    </r>
  </si>
  <si>
    <r>
      <rPr>
        <b/>
        <sz val="11"/>
        <color rgb="FFFF0000"/>
        <rFont val="Calibri"/>
        <family val="2"/>
        <scheme val="minor"/>
      </rPr>
      <t>Très élevée :</t>
    </r>
    <r>
      <rPr>
        <sz val="11"/>
        <color theme="1"/>
        <rFont val="Calibri"/>
        <family val="2"/>
        <charset val="1"/>
      </rPr>
      <t xml:space="preserve"> </t>
    </r>
    <r>
      <rPr>
        <u/>
        <sz val="11"/>
        <color theme="1"/>
        <rFont val="Calibri"/>
        <family val="2"/>
        <scheme val="minor"/>
      </rPr>
      <t>Effets irréversibles sur la santé (maladie professionnelle) / accident avec blessure sérieuse (arrêt &gt; à 1 mois et/ou incapacité permanente) / décès, incendie important / explosion</t>
    </r>
    <r>
      <rPr>
        <sz val="11"/>
        <color theme="1"/>
        <rFont val="Calibri"/>
        <family val="2"/>
        <charset val="1"/>
      </rPr>
      <t> : exposition/intoxication à des produits toxiques ou CMR, électrocution, chute de hauteur de plus de 3m, contamination par des radioéléments (&gt; aux seuils), contamination par des agents biologiques de classe 3…</t>
    </r>
  </si>
  <si>
    <t>Facteur augmentant la probabilité d'occurrence d'un évènement : éclairage insuffisant, liberté de mouvement réduite,…</t>
  </si>
  <si>
    <t>/</t>
  </si>
  <si>
    <t>Facteur aggravant le risque : Travailleur isolé, ambiance thermique froide,…</t>
  </si>
  <si>
    <t xml:space="preserve"> +1</t>
  </si>
  <si>
    <t>Cotation Risque potentiel (Rp) = Cotation Probabilité x Cotation Fréquence x Cotation Gravité</t>
  </si>
  <si>
    <t>P x F</t>
  </si>
  <si>
    <t>Fréquence</t>
  </si>
  <si>
    <t>Probabilité</t>
  </si>
  <si>
    <t>2 ou 1+1</t>
  </si>
  <si>
    <t>3 ou 2+1</t>
  </si>
  <si>
    <t>4 ou 3+1</t>
  </si>
  <si>
    <t>4+1</t>
  </si>
  <si>
    <t>Gravité</t>
  </si>
  <si>
    <t>4ou3+1ou &gt;4</t>
  </si>
  <si>
    <t>Probabilité x Fréquence</t>
  </si>
  <si>
    <t>Moyens de maîtrise</t>
  </si>
  <si>
    <t>Equipements de Protection Collective</t>
  </si>
  <si>
    <t>Equipements de Protection Individuelle</t>
  </si>
  <si>
    <t>Mesures techniques</t>
  </si>
  <si>
    <t>Mesures organisationnelles (procédures adaptées, répartition des tâches…)</t>
  </si>
  <si>
    <t>Mesures humaines (formations, compétences, sensibilisations…)</t>
  </si>
  <si>
    <t>Equipements de Protection Collective (EPC)</t>
  </si>
  <si>
    <t>Equipements de Protection Individuelle (EPI)</t>
  </si>
  <si>
    <t>Nécessaires, mises en œuvre et adaptées</t>
  </si>
  <si>
    <t>Nécessaires, mises en œuvres mais insuffisantes</t>
  </si>
  <si>
    <t>Nécessaires, mais inexistantes ou non conformes</t>
  </si>
  <si>
    <t>Non applicable à la situation de travail</t>
  </si>
  <si>
    <t>Non applicables à la situation de travail</t>
  </si>
  <si>
    <t>L'application et la bonne utilisation des moyens de maîtrise doivent être vérifiées au quotidien lors des visites chantier. Dans la constatation d'un écart, des mesures doivent être envisagées et reportées dans l'ERPT de l'intervention.</t>
  </si>
  <si>
    <t>Niveau des Moyens de maîtrise (automatique)</t>
  </si>
  <si>
    <t>FOH</t>
  </si>
  <si>
    <t>Cotation des Facteurs Organisationnels et humains</t>
  </si>
  <si>
    <t>Mesures organisationnelles</t>
  </si>
  <si>
    <t>Cotation des Mesures techniques</t>
  </si>
  <si>
    <t>Mesures humaines</t>
  </si>
  <si>
    <t>Une cotation de 1 pour la cotation des FOH OU la cotation des Mesures techniques est tolérée.</t>
  </si>
  <si>
    <t xml:space="preserve"> </t>
  </si>
  <si>
    <t>Niveau des Moyens de maîtrise</t>
  </si>
  <si>
    <t>Une cotation de 1 pour le Niveau des Moyens de maîtrise n'est pas toléré, car il faut absolument mettre en place au moins une mesure technique, organisationnelle ou humaine pour un risque donné.</t>
  </si>
  <si>
    <t>Signification</t>
  </si>
  <si>
    <t>Suffisant</t>
  </si>
  <si>
    <t>A améliorer</t>
  </si>
  <si>
    <t>Insuffisant</t>
  </si>
  <si>
    <t>Risque résiduel (Rr)</t>
  </si>
  <si>
    <t xml:space="preserve">F </t>
  </si>
  <si>
    <t>Risque résiduel faible</t>
  </si>
  <si>
    <t>M</t>
  </si>
  <si>
    <t>Risque résiduel moyen</t>
  </si>
  <si>
    <t>E</t>
  </si>
  <si>
    <t>Risque résiduel élevé</t>
  </si>
  <si>
    <t>Risque résiduel</t>
  </si>
  <si>
    <t>Cas où G &lt; 4</t>
  </si>
  <si>
    <t>Cas particulier où G &gt;= 4</t>
  </si>
  <si>
    <t>Cotation du Rr rapporté à G</t>
  </si>
  <si>
    <t>Niveau de Maîtrise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</si>
</sst>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3">
    <font>
      <sz val="11"/>
      <color theme="1"/>
      <name val="Calibri"/>
      <family val="2"/>
      <charset val="1"/>
    </font>
    <font>
      <sz val="11"/>
      <color theme="1"/>
      <name val="Calibri"/>
      <family val="2"/>
      <scheme val="minor"/>
    </font>
    <font>
      <sz val="16"/>
      <color rgb="FFFFFFFF"/>
      <name val="Futura MdCn BT"/>
      <family val="2"/>
      <charset val="1"/>
    </font>
    <font>
      <b/>
      <sz val="11"/>
      <color rgb="FF006A4D"/>
      <name val="Calibri"/>
      <family val="2"/>
    </font>
    <font>
      <b/>
      <sz val="11"/>
      <color rgb="FF1A1A1A"/>
      <name val="Calibri"/>
      <family val="2"/>
    </font>
    <font>
      <b/>
      <sz val="10"/>
      <color rgb="FFFFFFFF"/>
      <name val="Calibri"/>
      <family val="2"/>
    </font>
    <font>
      <b/>
      <sz val="9"/>
      <color rgb="FF006A4D"/>
      <name val="Calibri"/>
      <family val="2"/>
    </font>
    <font>
      <b/>
      <sz val="11"/>
      <color theme="1"/>
      <name val="Calibri"/>
      <family val="2"/>
      <charset val="1"/>
    </font>
    <font>
      <b/>
      <sz val="11"/>
      <color rgb="FF00B050"/>
      <name val="Calibri"/>
      <family val="2"/>
      <charset val="1"/>
    </font>
    <font>
      <sz val="11"/>
      <name val="Calibri"/>
      <family val="2"/>
      <charset val="1"/>
    </font>
    <font>
      <i/>
      <sz val="8"/>
      <color rgb="FF7A7A7A"/>
      <name val="Calibri"/>
      <family val="2"/>
    </font>
    <font>
      <b/>
      <sz val="11"/>
      <color theme="1"/>
      <name val="Calibri"/>
      <family val="2"/>
      <scheme val="minor"/>
    </font>
    <font>
      <sz val="11"/>
      <color theme="0"/>
      <name val="Calibri"/>
      <family val="2"/>
      <scheme val="minor"/>
    </font>
    <font>
      <b/>
      <sz val="16"/>
      <color theme="1"/>
      <name val="Calibri"/>
      <family val="2"/>
      <scheme val="minor"/>
    </font>
    <font>
      <b/>
      <sz val="12"/>
      <color theme="0"/>
      <name val="Calibri"/>
      <family val="2"/>
      <scheme val="minor"/>
    </font>
    <font>
      <b/>
      <sz val="11"/>
      <color rgb="FF00B050"/>
      <name val="Calibri"/>
      <family val="2"/>
      <scheme val="minor"/>
    </font>
    <font>
      <u/>
      <sz val="11"/>
      <color theme="1"/>
      <name val="Calibri"/>
      <family val="2"/>
      <scheme val="minor"/>
    </font>
    <font>
      <b/>
      <sz val="11"/>
      <color rgb="FFFFC000"/>
      <name val="Calibri"/>
      <family val="2"/>
      <scheme val="minor"/>
    </font>
    <font>
      <b/>
      <sz val="11"/>
      <color rgb="FFFF6600"/>
      <name val="Calibri"/>
      <family val="2"/>
      <scheme val="minor"/>
    </font>
    <font>
      <b/>
      <sz val="11"/>
      <color rgb="FFFF0000"/>
      <name val="Calibri"/>
      <family val="2"/>
      <scheme val="minor"/>
    </font>
    <font>
      <b/>
      <sz val="11"/>
      <name val="Calibri"/>
      <family val="2"/>
      <scheme val="minor"/>
    </font>
    <font>
      <b/>
      <sz val="16"/>
      <color indexed="12"/>
      <name val="Arial"/>
      <family val="2"/>
    </font>
    <font>
      <b/>
      <sz val="10"/>
      <name val="Arial"/>
      <family val="2"/>
    </font>
    <font>
      <b/>
      <sz val="12"/>
      <name val="Calibri"/>
      <family val="2"/>
      <scheme val="minor"/>
    </font>
    <font>
      <b/>
      <sz val="11"/>
      <color rgb="FFFFCC00"/>
      <name val="Calibri"/>
      <family val="2"/>
      <scheme val="minor"/>
    </font>
    <font>
      <b/>
      <sz val="11"/>
      <color indexed="12"/>
      <name val="Arial"/>
      <family val="2"/>
    </font>
    <font>
      <b/>
      <sz val="10"/>
      <color indexed="17"/>
      <name val="Arial"/>
      <family val="2"/>
    </font>
    <font>
      <b/>
      <sz val="10"/>
      <color indexed="52"/>
      <name val="Arial"/>
      <family val="2"/>
    </font>
    <font>
      <b/>
      <sz val="10"/>
      <color indexed="10"/>
      <name val="Arial"/>
      <family val="2"/>
    </font>
    <font>
      <b/>
      <sz val="14"/>
      <color indexed="12"/>
      <name val="Arial"/>
      <family val="2"/>
    </font>
    <font>
      <b/>
      <sz val="10"/>
      <color rgb="FFFF0000"/>
      <name val="Arial"/>
      <family val="2"/>
    </font>
    <font>
      <sz val="9"/>
      <color indexed="81"/>
      <name val="Tahoma"/>
      <charset val="1"/>
    </font>
    <font>
      <b/>
      <sz val="9"/>
      <color indexed="81"/>
      <name val="Tahoma"/>
      <charset val="1"/>
    </font>
  </fonts>
  <fills count="27">
    <fill>
      <patternFill patternType="none"/>
    </fill>
    <fill>
      <patternFill patternType="gray125"/>
    </fill>
    <fill>
      <patternFill patternType="solid">
        <fgColor rgb="FF006A4D"/>
        <bgColor rgb="FF008080"/>
      </patternFill>
    </fill>
    <fill>
      <patternFill patternType="solid">
        <fgColor rgb="FFBFE3D4"/>
        <bgColor rgb="FFBDD7EE"/>
      </patternFill>
    </fill>
    <fill>
      <patternFill patternType="solid">
        <fgColor rgb="FFFFFFFF"/>
        <bgColor rgb="FFFFFFCC"/>
      </patternFill>
    </fill>
    <fill>
      <patternFill patternType="solid">
        <fgColor rgb="FFDCEEE6"/>
        <bgColor rgb="FFE2F0D9"/>
      </patternFill>
    </fill>
    <fill>
      <patternFill patternType="solid">
        <fgColor theme="8" tint="0.39988402966399123"/>
        <bgColor rgb="FF9DC3E6"/>
      </patternFill>
    </fill>
    <fill>
      <patternFill patternType="solid">
        <fgColor rgb="FFFFFFCC"/>
        <bgColor rgb="FFFFFFFF"/>
      </patternFill>
    </fill>
    <fill>
      <patternFill patternType="solid">
        <fgColor rgb="FFFF0000"/>
        <bgColor rgb="FF993300"/>
      </patternFill>
    </fill>
    <fill>
      <patternFill patternType="solid">
        <fgColor rgb="FFDAFFCD"/>
        <bgColor rgb="FFC9FFE1"/>
      </patternFill>
    </fill>
    <fill>
      <patternFill patternType="solid">
        <fgColor theme="4" tint="0.59987182226020086"/>
        <bgColor rgb="FFBFE3D4"/>
      </patternFill>
    </fill>
    <fill>
      <patternFill patternType="solid">
        <fgColor theme="4" tint="0.39988402966399123"/>
        <bgColor rgb="FF8FAADC"/>
      </patternFill>
    </fill>
    <fill>
      <patternFill patternType="solid">
        <fgColor theme="4" tint="0.79989013336588644"/>
        <bgColor rgb="FFDCEEE6"/>
      </patternFill>
    </fill>
    <fill>
      <patternFill patternType="solid">
        <fgColor theme="8" tint="0.79989013336588644"/>
        <bgColor rgb="FFDEEBF7"/>
      </patternFill>
    </fill>
    <fill>
      <patternFill patternType="solid">
        <fgColor theme="7" tint="0.39988402966399123"/>
        <bgColor rgb="FFFFCC00"/>
      </patternFill>
    </fill>
    <fill>
      <patternFill patternType="solid">
        <fgColor rgb="FFFFCC00"/>
        <bgColor rgb="FFFFD966"/>
      </patternFill>
    </fill>
    <fill>
      <patternFill patternType="solid">
        <fgColor rgb="FF89E0FF"/>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rgb="FFFFFFCC"/>
        <bgColor indexed="64"/>
      </patternFill>
    </fill>
    <fill>
      <patternFill patternType="solid">
        <fgColor rgb="FF92D050"/>
        <bgColor indexed="64"/>
      </patternFill>
    </fill>
    <fill>
      <patternFill patternType="solid">
        <fgColor rgb="FFFFFF00"/>
        <bgColor indexed="64"/>
      </patternFill>
    </fill>
    <fill>
      <patternFill patternType="solid">
        <fgColor rgb="FF79DCFF"/>
        <bgColor indexed="64"/>
      </patternFill>
    </fill>
    <fill>
      <patternFill patternType="solid">
        <fgColor theme="4" tint="0.59999389629810485"/>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s>
  <borders count="41">
    <border>
      <left/>
      <right/>
      <top/>
      <bottom/>
      <diagonal/>
    </border>
    <border>
      <left style="thin">
        <color rgb="FFB0B0B0"/>
      </left>
      <right style="thin">
        <color rgb="FFB0B0B0"/>
      </right>
      <top style="thin">
        <color rgb="FFB0B0B0"/>
      </top>
      <bottom style="thin">
        <color rgb="FFB0B0B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rgb="FFFF0000"/>
      </left>
      <right style="thin">
        <color indexed="64"/>
      </right>
      <top style="thick">
        <color rgb="FFFF0000"/>
      </top>
      <bottom style="thick">
        <color rgb="FFFF0000"/>
      </bottom>
      <diagonal/>
    </border>
    <border>
      <left style="thin">
        <color indexed="64"/>
      </left>
      <right style="thin">
        <color indexed="64"/>
      </right>
      <top style="thick">
        <color rgb="FFFF0000"/>
      </top>
      <bottom style="thick">
        <color rgb="FFFF0000"/>
      </bottom>
      <diagonal/>
    </border>
    <border>
      <left style="thin">
        <color indexed="64"/>
      </left>
      <right style="thick">
        <color rgb="FFFF0000"/>
      </right>
      <top style="thick">
        <color rgb="FFFF0000"/>
      </top>
      <bottom style="thick">
        <color rgb="FFFF0000"/>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n">
        <color indexed="64"/>
      </left>
      <right style="thin">
        <color indexed="64"/>
      </right>
      <top/>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style="thin">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style="thick">
        <color indexed="64"/>
      </top>
      <bottom/>
      <diagonal/>
    </border>
    <border>
      <left style="thin">
        <color indexed="64"/>
      </left>
      <right style="thick">
        <color indexed="64"/>
      </right>
      <top/>
      <bottom style="thin">
        <color indexed="64"/>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bottom style="thick">
        <color rgb="FFFF0000"/>
      </bottom>
      <diagonal/>
    </border>
    <border>
      <left/>
      <right/>
      <top/>
      <bottom style="thick">
        <color rgb="FFFF0000"/>
      </bottom>
      <diagonal/>
    </border>
    <border>
      <left/>
      <right style="thick">
        <color rgb="FFFF0000"/>
      </right>
      <top/>
      <bottom style="thick">
        <color rgb="FFFF0000"/>
      </bottom>
      <diagonal/>
    </border>
  </borders>
  <cellStyleXfs count="2">
    <xf numFmtId="0" fontId="0" fillId="0" borderId="0"/>
    <xf numFmtId="0" fontId="1" fillId="0" borderId="0"/>
  </cellStyleXfs>
  <cellXfs count="222">
    <xf numFmtId="0" fontId="0" fillId="0" borderId="0" xfId="0"/>
    <xf numFmtId="0" fontId="6" fillId="5"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4" fillId="4" borderId="1" xfId="0" applyFont="1" applyFill="1" applyBorder="1" applyAlignment="1">
      <alignment horizontal="left" vertical="center"/>
    </xf>
    <xf numFmtId="0" fontId="0" fillId="0" borderId="1" xfId="0" applyBorder="1" applyAlignment="1">
      <alignment horizontal="center" vertical="center" wrapText="1"/>
    </xf>
    <xf numFmtId="0" fontId="7" fillId="0" borderId="1" xfId="0" applyFont="1" applyBorder="1" applyAlignment="1">
      <alignment horizontal="center" vertical="center" wrapTex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0" fillId="9" borderId="1" xfId="0" applyFill="1" applyBorder="1" applyAlignment="1">
      <alignment horizontal="center" vertical="top" wrapText="1"/>
    </xf>
    <xf numFmtId="0" fontId="0" fillId="9" borderId="1" xfId="0" applyFill="1" applyBorder="1" applyAlignment="1">
      <alignment horizontal="center" vertical="center" wrapText="1"/>
    </xf>
    <xf numFmtId="2" fontId="0" fillId="10" borderId="1" xfId="0" applyNumberFormat="1" applyFill="1" applyBorder="1" applyAlignment="1">
      <alignment horizontal="center" vertical="center"/>
    </xf>
    <xf numFmtId="2" fontId="0" fillId="11" borderId="1" xfId="0" applyNumberFormat="1" applyFill="1" applyBorder="1" applyAlignment="1">
      <alignment horizontal="center" vertical="center"/>
    </xf>
    <xf numFmtId="0" fontId="8" fillId="7" borderId="1" xfId="0" applyFont="1" applyFill="1" applyBorder="1" applyAlignment="1">
      <alignment horizontal="center" vertical="center"/>
    </xf>
    <xf numFmtId="0" fontId="9" fillId="12" borderId="1" xfId="0" applyFont="1" applyFill="1" applyBorder="1" applyAlignment="1">
      <alignment horizontal="center" vertical="center"/>
    </xf>
    <xf numFmtId="0" fontId="0" fillId="13" borderId="1" xfId="0" applyFill="1" applyBorder="1" applyAlignment="1">
      <alignment horizontal="center" vertical="center"/>
    </xf>
    <xf numFmtId="0" fontId="0" fillId="0" borderId="1" xfId="0" applyBorder="1" applyAlignment="1">
      <alignment horizontal="center" vertical="top" wrapText="1"/>
    </xf>
    <xf numFmtId="0" fontId="0" fillId="4" borderId="1" xfId="0" applyFill="1" applyBorder="1" applyAlignment="1">
      <alignment horizontal="center" vertical="center" wrapText="1"/>
    </xf>
    <xf numFmtId="0" fontId="7" fillId="0" borderId="1" xfId="0" applyFont="1" applyBorder="1" applyAlignment="1">
      <alignment horizontal="center" vertical="center"/>
    </xf>
    <xf numFmtId="0" fontId="0" fillId="4" borderId="1" xfId="0" applyFill="1" applyBorder="1"/>
    <xf numFmtId="0" fontId="0" fillId="4" borderId="1" xfId="0" applyFill="1" applyBorder="1" applyAlignment="1">
      <alignment horizontal="center" vertical="center"/>
    </xf>
    <xf numFmtId="0" fontId="0" fillId="4" borderId="1" xfId="0" applyFill="1" applyBorder="1" applyAlignment="1">
      <alignment horizontal="center" vertical="top" wrapText="1"/>
    </xf>
    <xf numFmtId="0" fontId="0" fillId="15" borderId="1" xfId="0" applyFill="1" applyBorder="1" applyAlignment="1">
      <alignment horizontal="center" vertical="center"/>
    </xf>
    <xf numFmtId="0" fontId="10" fillId="0" borderId="0" xfId="0" applyFont="1"/>
    <xf numFmtId="0" fontId="7" fillId="14" borderId="1" xfId="0" applyFont="1" applyFill="1" applyBorder="1" applyAlignment="1">
      <alignment horizontal="center" vertical="center" textRotation="90"/>
    </xf>
    <xf numFmtId="0" fontId="6" fillId="5" borderId="1" xfId="0" applyFont="1" applyFill="1" applyBorder="1" applyAlignment="1">
      <alignment horizontal="center" vertical="center" wrapText="1"/>
    </xf>
    <xf numFmtId="0" fontId="7" fillId="6" borderId="1" xfId="0" applyFont="1" applyFill="1" applyBorder="1" applyAlignment="1">
      <alignment horizontal="center" vertical="center" textRotation="90"/>
    </xf>
    <xf numFmtId="0" fontId="5" fillId="2" borderId="1" xfId="0" applyFont="1" applyFill="1" applyBorder="1" applyAlignment="1">
      <alignment horizontal="center" vertical="center" wrapText="1"/>
    </xf>
    <xf numFmtId="0" fontId="2" fillId="2" borderId="0" xfId="0" applyFont="1" applyFill="1" applyAlignment="1">
      <alignment horizontal="center" vertical="center" wrapText="1"/>
    </xf>
    <xf numFmtId="0" fontId="3" fillId="3" borderId="1" xfId="0" applyFont="1" applyFill="1" applyBorder="1" applyAlignment="1">
      <alignment horizontal="left" vertical="center"/>
    </xf>
    <xf numFmtId="0" fontId="1" fillId="0" borderId="0" xfId="1"/>
    <xf numFmtId="0" fontId="13" fillId="16" borderId="2" xfId="1" applyFont="1" applyFill="1" applyBorder="1" applyAlignment="1">
      <alignment horizontal="center" vertical="center"/>
    </xf>
    <xf numFmtId="0" fontId="13" fillId="16" borderId="3" xfId="1" applyFont="1" applyFill="1" applyBorder="1" applyAlignment="1">
      <alignment horizontal="center" vertical="center"/>
    </xf>
    <xf numFmtId="0" fontId="13" fillId="16" borderId="4" xfId="1" applyFont="1" applyFill="1" applyBorder="1" applyAlignment="1">
      <alignment horizontal="center" vertical="center"/>
    </xf>
    <xf numFmtId="0" fontId="1" fillId="17" borderId="5" xfId="1" applyFill="1" applyBorder="1" applyAlignment="1">
      <alignment horizontal="center"/>
    </xf>
    <xf numFmtId="0" fontId="1" fillId="17" borderId="6" xfId="1" applyFill="1" applyBorder="1" applyAlignment="1">
      <alignment horizontal="center"/>
    </xf>
    <xf numFmtId="0" fontId="1" fillId="17" borderId="7" xfId="1" applyFill="1" applyBorder="1" applyAlignment="1">
      <alignment horizontal="center"/>
    </xf>
    <xf numFmtId="0" fontId="11" fillId="0" borderId="8" xfId="1" applyFont="1" applyBorder="1" applyAlignment="1">
      <alignment horizontal="center"/>
    </xf>
    <xf numFmtId="0" fontId="11" fillId="0" borderId="8" xfId="1" applyFont="1" applyBorder="1" applyAlignment="1">
      <alignment horizontal="center"/>
    </xf>
    <xf numFmtId="0" fontId="1" fillId="0" borderId="8" xfId="1" applyBorder="1" applyAlignment="1">
      <alignment horizontal="center"/>
    </xf>
    <xf numFmtId="0" fontId="14" fillId="18" borderId="8" xfId="1" applyFont="1" applyFill="1" applyBorder="1" applyAlignment="1">
      <alignment horizontal="center" vertical="center" wrapText="1"/>
    </xf>
    <xf numFmtId="0" fontId="14" fillId="18" borderId="5" xfId="1" applyFont="1" applyFill="1" applyBorder="1" applyAlignment="1">
      <alignment horizontal="center" vertical="center" wrapText="1"/>
    </xf>
    <xf numFmtId="0" fontId="14" fillId="18" borderId="7" xfId="1" applyFont="1" applyFill="1" applyBorder="1" applyAlignment="1">
      <alignment horizontal="center" vertical="center" wrapText="1"/>
    </xf>
    <xf numFmtId="0" fontId="1" fillId="0" borderId="8" xfId="1" applyBorder="1" applyAlignment="1">
      <alignment horizontal="center" vertical="center" wrapText="1"/>
    </xf>
    <xf numFmtId="0" fontId="11" fillId="0" borderId="5" xfId="1" applyFont="1" applyBorder="1" applyAlignment="1">
      <alignment horizontal="center" vertical="center" wrapText="1"/>
    </xf>
    <xf numFmtId="0" fontId="11" fillId="0" borderId="7" xfId="1" applyFont="1" applyBorder="1" applyAlignment="1">
      <alignment horizontal="center" vertical="center" wrapText="1"/>
    </xf>
    <xf numFmtId="0" fontId="11" fillId="19" borderId="8" xfId="1" applyFont="1" applyFill="1" applyBorder="1" applyAlignment="1">
      <alignment horizontal="center" vertical="center" wrapText="1"/>
    </xf>
    <xf numFmtId="0" fontId="1" fillId="19" borderId="8" xfId="1" applyFill="1" applyBorder="1" applyAlignment="1">
      <alignment horizontal="center" vertical="center" wrapText="1"/>
    </xf>
    <xf numFmtId="0" fontId="20" fillId="19" borderId="8" xfId="1" applyFont="1" applyFill="1" applyBorder="1" applyAlignment="1">
      <alignment horizontal="center" vertical="center" wrapText="1"/>
    </xf>
    <xf numFmtId="49" fontId="11" fillId="19" borderId="5" xfId="1" applyNumberFormat="1" applyFont="1" applyFill="1" applyBorder="1" applyAlignment="1">
      <alignment horizontal="center" vertical="center" wrapText="1"/>
    </xf>
    <xf numFmtId="49" fontId="11" fillId="19" borderId="7" xfId="1" applyNumberFormat="1" applyFont="1" applyFill="1" applyBorder="1" applyAlignment="1">
      <alignment horizontal="center" vertical="center" wrapText="1"/>
    </xf>
    <xf numFmtId="0" fontId="11" fillId="0" borderId="9" xfId="1" applyFont="1" applyBorder="1" applyAlignment="1">
      <alignment horizontal="center"/>
    </xf>
    <xf numFmtId="0" fontId="11" fillId="0" borderId="10" xfId="1" applyFont="1" applyBorder="1" applyAlignment="1">
      <alignment horizontal="center"/>
    </xf>
    <xf numFmtId="0" fontId="11" fillId="0" borderId="11" xfId="1" applyFont="1" applyBorder="1" applyAlignment="1">
      <alignment horizontal="center"/>
    </xf>
    <xf numFmtId="0" fontId="21" fillId="0" borderId="0" xfId="1" applyFont="1" applyAlignment="1">
      <alignment horizontal="center" vertical="center"/>
    </xf>
    <xf numFmtId="0" fontId="21" fillId="0" borderId="12" xfId="1" applyFont="1" applyBorder="1" applyAlignment="1">
      <alignment horizontal="center" vertical="center"/>
    </xf>
    <xf numFmtId="0" fontId="22" fillId="0" borderId="5" xfId="1" applyFont="1" applyBorder="1" applyAlignment="1">
      <alignment horizontal="center" vertical="center"/>
    </xf>
    <xf numFmtId="0" fontId="22" fillId="0" borderId="6" xfId="1" applyFont="1" applyBorder="1" applyAlignment="1">
      <alignment horizontal="center" vertical="center"/>
    </xf>
    <xf numFmtId="0" fontId="22" fillId="0" borderId="7" xfId="1" applyFont="1" applyBorder="1" applyAlignment="1">
      <alignment horizontal="center" vertical="center"/>
    </xf>
    <xf numFmtId="0" fontId="22" fillId="0" borderId="0" xfId="1" applyFont="1" applyAlignment="1">
      <alignment horizontal="center" vertical="center"/>
    </xf>
    <xf numFmtId="0" fontId="21" fillId="0" borderId="13" xfId="1" applyFont="1" applyBorder="1" applyAlignment="1">
      <alignment horizontal="center" vertical="center"/>
    </xf>
    <xf numFmtId="0" fontId="21" fillId="0" borderId="14" xfId="1" applyFont="1" applyBorder="1" applyAlignment="1">
      <alignment horizontal="center" vertical="center"/>
    </xf>
    <xf numFmtId="0" fontId="1" fillId="0" borderId="15" xfId="1" applyBorder="1" applyAlignment="1">
      <alignment horizontal="center" vertical="center"/>
    </xf>
    <xf numFmtId="0" fontId="1" fillId="0" borderId="0" xfId="1" applyAlignment="1">
      <alignment horizontal="center" vertical="center"/>
    </xf>
    <xf numFmtId="0" fontId="22" fillId="0" borderId="15" xfId="1" applyFont="1" applyBorder="1" applyAlignment="1">
      <alignment horizontal="center" vertical="center" textRotation="90"/>
    </xf>
    <xf numFmtId="0" fontId="1" fillId="0" borderId="5" xfId="1" applyBorder="1" applyAlignment="1">
      <alignment horizontal="center" vertical="center"/>
    </xf>
    <xf numFmtId="0" fontId="1" fillId="0" borderId="16" xfId="1" applyBorder="1" applyAlignment="1">
      <alignment horizontal="center" vertical="center"/>
    </xf>
    <xf numFmtId="0" fontId="1" fillId="0" borderId="17" xfId="1" applyBorder="1" applyAlignment="1">
      <alignment horizontal="center" vertical="center"/>
    </xf>
    <xf numFmtId="0" fontId="1" fillId="0" borderId="18" xfId="1" applyBorder="1" applyAlignment="1">
      <alignment horizontal="center" vertical="center"/>
    </xf>
    <xf numFmtId="0" fontId="22" fillId="0" borderId="19" xfId="1" applyFont="1" applyBorder="1" applyAlignment="1">
      <alignment horizontal="center" vertical="center" textRotation="90"/>
    </xf>
    <xf numFmtId="0" fontId="1" fillId="0" borderId="20" xfId="1" applyBorder="1" applyAlignment="1">
      <alignment horizontal="center" vertical="center"/>
    </xf>
    <xf numFmtId="0" fontId="1" fillId="0" borderId="8" xfId="1" applyBorder="1" applyAlignment="1">
      <alignment horizontal="center" vertical="center"/>
    </xf>
    <xf numFmtId="0" fontId="1" fillId="0" borderId="21" xfId="1" applyBorder="1" applyAlignment="1">
      <alignment horizontal="center" vertical="center"/>
    </xf>
    <xf numFmtId="0" fontId="22" fillId="0" borderId="22" xfId="1" applyFont="1" applyBorder="1" applyAlignment="1">
      <alignment horizontal="center" vertical="center" textRotation="90"/>
    </xf>
    <xf numFmtId="0" fontId="1" fillId="0" borderId="23" xfId="1" applyBorder="1" applyAlignment="1">
      <alignment horizontal="center" vertical="center"/>
    </xf>
    <xf numFmtId="0" fontId="1" fillId="0" borderId="24" xfId="1" applyBorder="1" applyAlignment="1">
      <alignment horizontal="center" vertical="center"/>
    </xf>
    <xf numFmtId="0" fontId="1" fillId="0" borderId="25" xfId="1" applyBorder="1" applyAlignment="1">
      <alignment horizontal="center" vertical="center"/>
    </xf>
    <xf numFmtId="0" fontId="12" fillId="0" borderId="0" xfId="1" applyFont="1" applyAlignment="1">
      <alignment horizontal="center" vertical="center"/>
    </xf>
    <xf numFmtId="0" fontId="12" fillId="0" borderId="0" xfId="1" applyFont="1"/>
    <xf numFmtId="0" fontId="1" fillId="20" borderId="5" xfId="1" applyFill="1" applyBorder="1" applyAlignment="1">
      <alignment horizontal="center"/>
    </xf>
    <xf numFmtId="0" fontId="1" fillId="20" borderId="6" xfId="1" applyFill="1" applyBorder="1" applyAlignment="1">
      <alignment horizontal="center"/>
    </xf>
    <xf numFmtId="0" fontId="1" fillId="20" borderId="7" xfId="1" applyFill="1" applyBorder="1" applyAlignment="1">
      <alignment horizontal="center"/>
    </xf>
    <xf numFmtId="0" fontId="11" fillId="0" borderId="8" xfId="1" applyFont="1" applyBorder="1" applyAlignment="1">
      <alignment horizontal="center" vertical="center"/>
    </xf>
    <xf numFmtId="0" fontId="11" fillId="0" borderId="22" xfId="1" applyFont="1" applyBorder="1" applyAlignment="1">
      <alignment horizontal="center" vertical="center"/>
    </xf>
    <xf numFmtId="0" fontId="1" fillId="0" borderId="8" xfId="1" applyBorder="1" applyAlignment="1">
      <alignment horizontal="center" vertical="center"/>
    </xf>
    <xf numFmtId="0" fontId="11" fillId="0" borderId="8" xfId="1" applyFont="1" applyBorder="1" applyAlignment="1">
      <alignment horizontal="center" vertical="center"/>
    </xf>
    <xf numFmtId="0" fontId="14" fillId="0" borderId="0" xfId="1" applyFont="1" applyAlignment="1">
      <alignment vertical="center" wrapText="1"/>
    </xf>
    <xf numFmtId="0" fontId="15" fillId="0" borderId="8" xfId="1" applyFont="1" applyBorder="1" applyAlignment="1">
      <alignment horizontal="center" vertical="center" wrapText="1"/>
    </xf>
    <xf numFmtId="0" fontId="23" fillId="0" borderId="8" xfId="1" applyFont="1" applyBorder="1" applyAlignment="1">
      <alignment horizontal="center" vertical="center" wrapText="1"/>
    </xf>
    <xf numFmtId="0" fontId="23" fillId="0" borderId="0" xfId="1" applyFont="1" applyAlignment="1">
      <alignment vertical="center" wrapText="1"/>
    </xf>
    <xf numFmtId="0" fontId="17" fillId="0" borderId="8" xfId="1" applyFont="1" applyBorder="1" applyAlignment="1">
      <alignment horizontal="center" vertical="center" wrapText="1"/>
    </xf>
    <xf numFmtId="0" fontId="19" fillId="0" borderId="8" xfId="1" applyFont="1" applyBorder="1" applyAlignment="1">
      <alignment horizontal="center" vertical="center" wrapText="1"/>
    </xf>
    <xf numFmtId="0" fontId="11" fillId="0" borderId="8" xfId="1" applyFont="1" applyBorder="1" applyAlignment="1">
      <alignment horizontal="center" vertical="center" wrapText="1"/>
    </xf>
    <xf numFmtId="0" fontId="11" fillId="0" borderId="0" xfId="1" applyFont="1" applyAlignment="1">
      <alignment horizontal="center" vertical="center" wrapText="1"/>
    </xf>
    <xf numFmtId="0" fontId="23" fillId="0" borderId="0" xfId="1" applyFont="1" applyAlignment="1">
      <alignment horizontal="center" vertical="center" wrapText="1"/>
    </xf>
    <xf numFmtId="0" fontId="20" fillId="21" borderId="26" xfId="1" applyFont="1" applyFill="1" applyBorder="1" applyAlignment="1">
      <alignment horizontal="center" vertical="center" wrapText="1"/>
    </xf>
    <xf numFmtId="0" fontId="20" fillId="21" borderId="27" xfId="1" applyFont="1" applyFill="1" applyBorder="1" applyAlignment="1">
      <alignment horizontal="center" vertical="center" wrapText="1"/>
    </xf>
    <xf numFmtId="0" fontId="20" fillId="21" borderId="28" xfId="1" applyFont="1" applyFill="1" applyBorder="1" applyAlignment="1">
      <alignment horizontal="center" vertical="center" wrapText="1"/>
    </xf>
    <xf numFmtId="0" fontId="1" fillId="22" borderId="5" xfId="1" applyFill="1" applyBorder="1" applyAlignment="1">
      <alignment horizontal="center"/>
    </xf>
    <xf numFmtId="0" fontId="1" fillId="22" borderId="6" xfId="1" applyFill="1" applyBorder="1" applyAlignment="1">
      <alignment horizontal="center"/>
    </xf>
    <xf numFmtId="0" fontId="1" fillId="22" borderId="7" xfId="1" applyFill="1" applyBorder="1" applyAlignment="1">
      <alignment horizontal="center"/>
    </xf>
    <xf numFmtId="0" fontId="11" fillId="0" borderId="0" xfId="1" applyFont="1" applyAlignment="1">
      <alignment horizontal="center"/>
    </xf>
    <xf numFmtId="0" fontId="11" fillId="0" borderId="0" xfId="1" applyFont="1" applyAlignment="1">
      <alignment horizontal="center" vertical="center" wrapText="1"/>
    </xf>
    <xf numFmtId="0" fontId="22" fillId="0" borderId="29" xfId="1" applyFont="1" applyBorder="1" applyAlignment="1">
      <alignment horizontal="center" vertical="center"/>
    </xf>
    <xf numFmtId="0" fontId="22" fillId="0" borderId="30" xfId="1" applyFont="1" applyBorder="1" applyAlignment="1">
      <alignment horizontal="center" vertical="center"/>
    </xf>
    <xf numFmtId="0" fontId="22" fillId="0" borderId="31" xfId="1" applyFont="1" applyBorder="1" applyAlignment="1">
      <alignment horizontal="center" vertical="center"/>
    </xf>
    <xf numFmtId="0" fontId="11" fillId="0" borderId="0" xfId="1" applyFont="1" applyAlignment="1">
      <alignment wrapText="1"/>
    </xf>
    <xf numFmtId="0" fontId="22" fillId="0" borderId="32" xfId="1" applyFont="1" applyBorder="1" applyAlignment="1">
      <alignment horizontal="center" vertical="center"/>
    </xf>
    <xf numFmtId="0" fontId="22" fillId="0" borderId="13" xfId="1" applyFont="1" applyBorder="1" applyAlignment="1">
      <alignment horizontal="center" vertical="center"/>
    </xf>
    <xf numFmtId="0" fontId="22" fillId="0" borderId="14" xfId="1" applyFont="1" applyBorder="1" applyAlignment="1">
      <alignment horizontal="center" vertical="center"/>
    </xf>
    <xf numFmtId="0" fontId="11" fillId="0" borderId="13" xfId="1" applyFont="1" applyBorder="1" applyAlignment="1">
      <alignment horizontal="center" vertical="center" wrapText="1"/>
    </xf>
    <xf numFmtId="0" fontId="15" fillId="0" borderId="15" xfId="1" applyFont="1" applyBorder="1" applyAlignment="1">
      <alignment horizontal="center" vertical="center"/>
    </xf>
    <xf numFmtId="0" fontId="17" fillId="0" borderId="15" xfId="1" applyFont="1" applyBorder="1" applyAlignment="1">
      <alignment horizontal="center" vertical="center"/>
    </xf>
    <xf numFmtId="0" fontId="19" fillId="0" borderId="15" xfId="1" applyFont="1" applyBorder="1" applyAlignment="1">
      <alignment horizontal="center" vertical="center"/>
    </xf>
    <xf numFmtId="0" fontId="20" fillId="0" borderId="15" xfId="1" applyFont="1" applyBorder="1" applyAlignment="1">
      <alignment horizontal="center" vertical="center"/>
    </xf>
    <xf numFmtId="0" fontId="22" fillId="0" borderId="15" xfId="1" applyFont="1" applyBorder="1" applyAlignment="1">
      <alignment horizontal="center" vertical="center" textRotation="90" wrapText="1"/>
    </xf>
    <xf numFmtId="0" fontId="15" fillId="0" borderId="5" xfId="1" applyFont="1" applyBorder="1" applyAlignment="1">
      <alignment horizontal="center" vertical="center"/>
    </xf>
    <xf numFmtId="2" fontId="15" fillId="0" borderId="16" xfId="1" applyNumberFormat="1" applyFont="1" applyBorder="1" applyAlignment="1">
      <alignment horizontal="center" vertical="center"/>
    </xf>
    <xf numFmtId="2" fontId="24" fillId="0" borderId="17" xfId="1" applyNumberFormat="1" applyFont="1" applyBorder="1" applyAlignment="1">
      <alignment horizontal="center" vertical="center"/>
    </xf>
    <xf numFmtId="2" fontId="20" fillId="0" borderId="17" xfId="1" applyNumberFormat="1" applyFont="1" applyBorder="1" applyAlignment="1">
      <alignment horizontal="center" vertical="center"/>
    </xf>
    <xf numFmtId="2" fontId="15" fillId="0" borderId="18" xfId="1" applyNumberFormat="1" applyFont="1" applyBorder="1" applyAlignment="1">
      <alignment horizontal="center" vertical="center"/>
    </xf>
    <xf numFmtId="0" fontId="22" fillId="0" borderId="19" xfId="1" applyFont="1" applyBorder="1" applyAlignment="1">
      <alignment horizontal="center" vertical="center" textRotation="90" wrapText="1"/>
    </xf>
    <xf numFmtId="0" fontId="17" fillId="0" borderId="5" xfId="1" applyFont="1" applyBorder="1" applyAlignment="1">
      <alignment horizontal="center" vertical="center"/>
    </xf>
    <xf numFmtId="2" fontId="15" fillId="0" borderId="20" xfId="1" applyNumberFormat="1" applyFont="1" applyBorder="1" applyAlignment="1">
      <alignment horizontal="center" vertical="center"/>
    </xf>
    <xf numFmtId="2" fontId="24" fillId="0" borderId="8" xfId="1" applyNumberFormat="1" applyFont="1" applyBorder="1" applyAlignment="1">
      <alignment horizontal="center" vertical="center"/>
    </xf>
    <xf numFmtId="2" fontId="20" fillId="0" borderId="8" xfId="1" applyNumberFormat="1" applyFont="1" applyBorder="1" applyAlignment="1">
      <alignment horizontal="center" vertical="center"/>
    </xf>
    <xf numFmtId="2" fontId="20" fillId="0" borderId="21" xfId="1" applyNumberFormat="1" applyFont="1" applyBorder="1" applyAlignment="1">
      <alignment horizontal="center" vertical="center"/>
    </xf>
    <xf numFmtId="2" fontId="19" fillId="0" borderId="8" xfId="1" applyNumberFormat="1" applyFont="1" applyBorder="1" applyAlignment="1">
      <alignment horizontal="center" vertical="center"/>
    </xf>
    <xf numFmtId="2" fontId="24" fillId="0" borderId="21" xfId="1" applyNumberFormat="1" applyFont="1" applyBorder="1" applyAlignment="1">
      <alignment horizontal="center" vertical="center"/>
    </xf>
    <xf numFmtId="0" fontId="19" fillId="0" borderId="5" xfId="1" applyFont="1" applyBorder="1" applyAlignment="1">
      <alignment horizontal="center" vertical="center"/>
    </xf>
    <xf numFmtId="2" fontId="20" fillId="0" borderId="20" xfId="1" applyNumberFormat="1" applyFont="1" applyBorder="1" applyAlignment="1">
      <alignment horizontal="center" vertical="center"/>
    </xf>
    <xf numFmtId="2" fontId="24" fillId="0" borderId="20" xfId="1" applyNumberFormat="1" applyFont="1" applyBorder="1" applyAlignment="1">
      <alignment horizontal="center" vertical="center"/>
    </xf>
    <xf numFmtId="2" fontId="19" fillId="0" borderId="21" xfId="1" applyNumberFormat="1" applyFont="1" applyBorder="1" applyAlignment="1">
      <alignment horizontal="center" vertical="center"/>
    </xf>
    <xf numFmtId="0" fontId="22" fillId="0" borderId="22" xfId="1" applyFont="1" applyBorder="1" applyAlignment="1">
      <alignment horizontal="center" vertical="center" textRotation="90" wrapText="1"/>
    </xf>
    <xf numFmtId="0" fontId="20" fillId="0" borderId="5" xfId="1" applyFont="1" applyBorder="1" applyAlignment="1">
      <alignment horizontal="center" vertical="center"/>
    </xf>
    <xf numFmtId="2" fontId="15" fillId="0" borderId="23" xfId="1" applyNumberFormat="1" applyFont="1" applyBorder="1" applyAlignment="1">
      <alignment horizontal="center" vertical="center"/>
    </xf>
    <xf numFmtId="2" fontId="20" fillId="0" borderId="24" xfId="1" applyNumberFormat="1" applyFont="1" applyBorder="1" applyAlignment="1">
      <alignment horizontal="center" vertical="center"/>
    </xf>
    <xf numFmtId="2" fontId="20" fillId="0" borderId="25" xfId="1" applyNumberFormat="1" applyFont="1" applyBorder="1" applyAlignment="1">
      <alignment horizontal="center" vertical="center"/>
    </xf>
    <xf numFmtId="2" fontId="24" fillId="0" borderId="24" xfId="1" applyNumberFormat="1" applyFont="1" applyBorder="1" applyAlignment="1">
      <alignment horizontal="center" vertical="center"/>
    </xf>
    <xf numFmtId="2" fontId="19" fillId="0" borderId="24" xfId="1" applyNumberFormat="1" applyFont="1" applyBorder="1" applyAlignment="1">
      <alignment horizontal="center" vertical="center"/>
    </xf>
    <xf numFmtId="0" fontId="22" fillId="0" borderId="0" xfId="1" applyFont="1" applyAlignment="1">
      <alignment horizontal="center" vertical="center" textRotation="90" wrapText="1"/>
    </xf>
    <xf numFmtId="0" fontId="20" fillId="0" borderId="0" xfId="1" applyFont="1" applyAlignment="1">
      <alignment horizontal="center" vertical="center"/>
    </xf>
    <xf numFmtId="0" fontId="15" fillId="0" borderId="0" xfId="1" applyFont="1" applyAlignment="1">
      <alignment horizontal="center" vertical="center"/>
    </xf>
    <xf numFmtId="0" fontId="17" fillId="0" borderId="0" xfId="1" applyFont="1" applyAlignment="1">
      <alignment horizontal="center" vertical="center"/>
    </xf>
    <xf numFmtId="0" fontId="19" fillId="0" borderId="33" xfId="1" applyFont="1" applyBorder="1" applyAlignment="1">
      <alignment horizontal="center" vertical="center"/>
    </xf>
    <xf numFmtId="0" fontId="1" fillId="0" borderId="30" xfId="1" applyBorder="1" applyAlignment="1">
      <alignment horizontal="center" vertical="center"/>
    </xf>
    <xf numFmtId="0" fontId="20" fillId="0" borderId="30" xfId="1" applyFont="1" applyBorder="1" applyAlignment="1">
      <alignment horizontal="center" vertical="center"/>
    </xf>
    <xf numFmtId="0" fontId="15" fillId="0" borderId="30" xfId="1" applyFont="1" applyBorder="1" applyAlignment="1">
      <alignment horizontal="center" vertical="center"/>
    </xf>
    <xf numFmtId="0" fontId="17" fillId="0" borderId="30" xfId="1" applyFont="1" applyBorder="1" applyAlignment="1">
      <alignment horizontal="center" vertical="center"/>
    </xf>
    <xf numFmtId="0" fontId="22" fillId="21" borderId="26" xfId="1" applyFont="1" applyFill="1" applyBorder="1" applyAlignment="1">
      <alignment horizontal="center" vertical="center"/>
    </xf>
    <xf numFmtId="0" fontId="22" fillId="21" borderId="27" xfId="1" applyFont="1" applyFill="1" applyBorder="1" applyAlignment="1">
      <alignment horizontal="center" vertical="center"/>
    </xf>
    <xf numFmtId="0" fontId="22" fillId="21" borderId="28" xfId="1" applyFont="1" applyFill="1" applyBorder="1" applyAlignment="1">
      <alignment horizontal="center" vertical="center"/>
    </xf>
    <xf numFmtId="0" fontId="22" fillId="0" borderId="0" xfId="1" applyFont="1" applyAlignment="1">
      <alignment horizontal="center" vertical="center" textRotation="90"/>
    </xf>
    <xf numFmtId="164" fontId="20" fillId="0" borderId="0" xfId="1" applyNumberFormat="1" applyFont="1" applyAlignment="1">
      <alignment horizontal="center" vertical="center"/>
    </xf>
    <xf numFmtId="0" fontId="25" fillId="0" borderId="0" xfId="1" applyFont="1" applyAlignment="1">
      <alignment horizontal="center" vertical="center" wrapText="1"/>
    </xf>
    <xf numFmtId="0" fontId="25" fillId="0" borderId="13" xfId="1" applyFont="1" applyBorder="1" applyAlignment="1">
      <alignment horizontal="center" vertical="center" wrapText="1"/>
    </xf>
    <xf numFmtId="0" fontId="25" fillId="0" borderId="14" xfId="1" applyFont="1" applyBorder="1" applyAlignment="1">
      <alignment horizontal="center" vertical="center" wrapText="1"/>
    </xf>
    <xf numFmtId="2" fontId="15" fillId="0" borderId="19" xfId="1" applyNumberFormat="1" applyFont="1" applyBorder="1" applyAlignment="1">
      <alignment horizontal="center" vertical="center"/>
    </xf>
    <xf numFmtId="2" fontId="24" fillId="0" borderId="19" xfId="1" applyNumberFormat="1" applyFont="1" applyBorder="1" applyAlignment="1">
      <alignment horizontal="center" vertical="center"/>
    </xf>
    <xf numFmtId="2" fontId="20" fillId="0" borderId="19" xfId="1" applyNumberFormat="1" applyFont="1" applyBorder="1" applyAlignment="1">
      <alignment horizontal="center" vertical="center"/>
    </xf>
    <xf numFmtId="2" fontId="19" fillId="0" borderId="19" xfId="1" applyNumberFormat="1" applyFont="1" applyBorder="1" applyAlignment="1">
      <alignment horizontal="center" vertical="center"/>
    </xf>
    <xf numFmtId="2" fontId="15" fillId="0" borderId="29" xfId="1" applyNumberFormat="1" applyFont="1" applyBorder="1" applyAlignment="1">
      <alignment horizontal="center" vertical="center"/>
    </xf>
    <xf numFmtId="2" fontId="1" fillId="0" borderId="16" xfId="1" applyNumberFormat="1" applyBorder="1" applyAlignment="1">
      <alignment horizontal="center" vertical="center"/>
    </xf>
    <xf numFmtId="2" fontId="1" fillId="0" borderId="17" xfId="1" applyNumberFormat="1" applyBorder="1" applyAlignment="1">
      <alignment horizontal="center" vertical="center"/>
    </xf>
    <xf numFmtId="2" fontId="1" fillId="0" borderId="34" xfId="1" applyNumberFormat="1" applyBorder="1" applyAlignment="1">
      <alignment horizontal="center" vertical="center"/>
    </xf>
    <xf numFmtId="2" fontId="1" fillId="0" borderId="20" xfId="1" applyNumberFormat="1" applyBorder="1" applyAlignment="1">
      <alignment horizontal="center" vertical="center"/>
    </xf>
    <xf numFmtId="2" fontId="1" fillId="0" borderId="8" xfId="1" applyNumberFormat="1" applyBorder="1" applyAlignment="1">
      <alignment horizontal="center" vertical="center"/>
    </xf>
    <xf numFmtId="2" fontId="1" fillId="0" borderId="21" xfId="1" applyNumberFormat="1" applyBorder="1" applyAlignment="1">
      <alignment horizontal="center" vertical="center"/>
    </xf>
    <xf numFmtId="2" fontId="24" fillId="0" borderId="29" xfId="1" applyNumberFormat="1" applyFont="1" applyBorder="1" applyAlignment="1">
      <alignment horizontal="center" vertical="center"/>
    </xf>
    <xf numFmtId="2" fontId="20" fillId="0" borderId="29" xfId="1" applyNumberFormat="1" applyFont="1" applyBorder="1" applyAlignment="1">
      <alignment horizontal="center" vertical="center"/>
    </xf>
    <xf numFmtId="2" fontId="19" fillId="0" borderId="29" xfId="1" applyNumberFormat="1" applyFont="1" applyBorder="1" applyAlignment="1">
      <alignment horizontal="center" vertical="center"/>
    </xf>
    <xf numFmtId="2" fontId="19" fillId="0" borderId="5" xfId="1" applyNumberFormat="1" applyFont="1" applyBorder="1" applyAlignment="1">
      <alignment horizontal="center" vertical="center"/>
    </xf>
    <xf numFmtId="2" fontId="1" fillId="0" borderId="23" xfId="1" applyNumberFormat="1" applyBorder="1" applyAlignment="1">
      <alignment horizontal="center" vertical="center"/>
    </xf>
    <xf numFmtId="2" fontId="1" fillId="0" borderId="24" xfId="1" applyNumberFormat="1" applyBorder="1" applyAlignment="1">
      <alignment horizontal="center" vertical="center"/>
    </xf>
    <xf numFmtId="2" fontId="1" fillId="0" borderId="25" xfId="1" applyNumberFormat="1" applyBorder="1" applyAlignment="1">
      <alignment horizontal="center" vertical="center"/>
    </xf>
    <xf numFmtId="0" fontId="22" fillId="21" borderId="35" xfId="1" applyFont="1" applyFill="1" applyBorder="1" applyAlignment="1">
      <alignment horizontal="center" vertical="center" wrapText="1"/>
    </xf>
    <xf numFmtId="0" fontId="22" fillId="21" borderId="36" xfId="1" applyFont="1" applyFill="1" applyBorder="1" applyAlignment="1">
      <alignment horizontal="center" vertical="center" wrapText="1"/>
    </xf>
    <xf numFmtId="0" fontId="22" fillId="21" borderId="37" xfId="1" applyFont="1" applyFill="1" applyBorder="1" applyAlignment="1">
      <alignment horizontal="center" vertical="center" wrapText="1"/>
    </xf>
    <xf numFmtId="0" fontId="22" fillId="21" borderId="38" xfId="1" applyFont="1" applyFill="1" applyBorder="1" applyAlignment="1">
      <alignment horizontal="center" vertical="center" wrapText="1"/>
    </xf>
    <xf numFmtId="0" fontId="22" fillId="21" borderId="39" xfId="1" applyFont="1" applyFill="1" applyBorder="1" applyAlignment="1">
      <alignment horizontal="center" vertical="center" wrapText="1"/>
    </xf>
    <xf numFmtId="0" fontId="22" fillId="21" borderId="40" xfId="1" applyFont="1" applyFill="1" applyBorder="1" applyAlignment="1">
      <alignment horizontal="center" vertical="center" wrapText="1"/>
    </xf>
    <xf numFmtId="0" fontId="22" fillId="0" borderId="0" xfId="1" applyFont="1" applyAlignment="1">
      <alignment horizontal="center" vertical="center"/>
    </xf>
    <xf numFmtId="0" fontId="26" fillId="0" borderId="8" xfId="1" applyFont="1" applyBorder="1" applyAlignment="1">
      <alignment horizontal="center" vertical="center"/>
    </xf>
    <xf numFmtId="0" fontId="27" fillId="0" borderId="8" xfId="1" applyFont="1" applyBorder="1" applyAlignment="1">
      <alignment horizontal="center" vertical="center"/>
    </xf>
    <xf numFmtId="0" fontId="28" fillId="0" borderId="8" xfId="1" applyFont="1" applyBorder="1" applyAlignment="1">
      <alignment horizontal="center" vertical="center"/>
    </xf>
    <xf numFmtId="0" fontId="1" fillId="23" borderId="5" xfId="1" applyFill="1" applyBorder="1" applyAlignment="1">
      <alignment horizontal="center"/>
    </xf>
    <xf numFmtId="0" fontId="1" fillId="23" borderId="6" xfId="1" applyFill="1" applyBorder="1" applyAlignment="1">
      <alignment horizontal="center"/>
    </xf>
    <xf numFmtId="0" fontId="1" fillId="23" borderId="7" xfId="1" applyFill="1" applyBorder="1" applyAlignment="1">
      <alignment horizontal="center"/>
    </xf>
    <xf numFmtId="0" fontId="1" fillId="0" borderId="5" xfId="1" applyBorder="1" applyAlignment="1">
      <alignment horizontal="center"/>
    </xf>
    <xf numFmtId="0" fontId="1" fillId="0" borderId="6" xfId="1" applyBorder="1" applyAlignment="1">
      <alignment horizontal="center"/>
    </xf>
    <xf numFmtId="0" fontId="1" fillId="0" borderId="7" xfId="1" applyBorder="1" applyAlignment="1">
      <alignment horizontal="center"/>
    </xf>
    <xf numFmtId="0" fontId="1" fillId="0" borderId="0" xfId="1" applyAlignment="1">
      <alignment horizontal="center"/>
    </xf>
    <xf numFmtId="0" fontId="29" fillId="0" borderId="0" xfId="1" applyFont="1"/>
    <xf numFmtId="0" fontId="25" fillId="0" borderId="12" xfId="1" applyFont="1" applyBorder="1" applyAlignment="1">
      <alignment horizontal="center" vertical="center" wrapText="1"/>
    </xf>
    <xf numFmtId="0" fontId="22" fillId="0" borderId="8" xfId="1" applyFont="1" applyBorder="1" applyAlignment="1">
      <alignment horizontal="center" vertical="center"/>
    </xf>
    <xf numFmtId="0" fontId="26" fillId="0" borderId="15" xfId="1" applyFont="1" applyBorder="1" applyAlignment="1">
      <alignment horizontal="center" vertical="center"/>
    </xf>
    <xf numFmtId="0" fontId="27" fillId="0" borderId="15" xfId="1" applyFont="1" applyBorder="1" applyAlignment="1">
      <alignment horizontal="center" vertical="center"/>
    </xf>
    <xf numFmtId="0" fontId="28" fillId="0" borderId="15" xfId="1" applyFont="1" applyBorder="1" applyAlignment="1">
      <alignment horizontal="center" vertical="center"/>
    </xf>
    <xf numFmtId="0" fontId="22" fillId="0" borderId="8" xfId="1" applyFont="1" applyBorder="1" applyAlignment="1">
      <alignment horizontal="center" vertical="center" textRotation="90"/>
    </xf>
    <xf numFmtId="0" fontId="26" fillId="0" borderId="5" xfId="1" applyFont="1" applyBorder="1" applyAlignment="1">
      <alignment horizontal="center" vertical="center"/>
    </xf>
    <xf numFmtId="49" fontId="30" fillId="0" borderId="8" xfId="1" applyNumberFormat="1" applyFont="1" applyBorder="1" applyAlignment="1">
      <alignment horizontal="center" vertical="center"/>
    </xf>
    <xf numFmtId="0" fontId="19" fillId="0" borderId="8" xfId="1" applyFont="1" applyBorder="1" applyAlignment="1">
      <alignment horizontal="center" vertical="center"/>
    </xf>
    <xf numFmtId="49" fontId="19" fillId="0" borderId="8" xfId="1" applyNumberFormat="1" applyFont="1" applyBorder="1" applyAlignment="1">
      <alignment horizontal="center" vertical="center"/>
    </xf>
    <xf numFmtId="0" fontId="27" fillId="0" borderId="5" xfId="1" applyFont="1" applyBorder="1" applyAlignment="1">
      <alignment horizontal="center" vertical="center"/>
    </xf>
    <xf numFmtId="0" fontId="28" fillId="0" borderId="5" xfId="1" applyFont="1" applyBorder="1" applyAlignment="1">
      <alignment horizontal="center" vertical="center"/>
    </xf>
    <xf numFmtId="0" fontId="1" fillId="24" borderId="0" xfId="1" applyFill="1"/>
    <xf numFmtId="0" fontId="22" fillId="25" borderId="8" xfId="1" applyFont="1" applyFill="1" applyBorder="1" applyAlignment="1">
      <alignment horizontal="center" vertical="center"/>
    </xf>
    <xf numFmtId="0" fontId="22" fillId="26" borderId="8" xfId="1" applyFont="1" applyFill="1" applyBorder="1" applyAlignment="1">
      <alignment horizontal="center" vertical="center"/>
    </xf>
    <xf numFmtId="0" fontId="22" fillId="20" borderId="8" xfId="1" applyFont="1" applyFill="1" applyBorder="1" applyAlignment="1">
      <alignment horizontal="center" vertical="center"/>
    </xf>
    <xf numFmtId="0" fontId="22" fillId="20" borderId="7" xfId="1" applyFont="1" applyFill="1" applyBorder="1" applyAlignment="1">
      <alignment horizontal="center" vertical="center"/>
    </xf>
    <xf numFmtId="0" fontId="1" fillId="25" borderId="18" xfId="1" applyFill="1" applyBorder="1" applyAlignment="1">
      <alignment horizontal="center" vertical="center"/>
    </xf>
    <xf numFmtId="0" fontId="1" fillId="25" borderId="21" xfId="1" applyFill="1" applyBorder="1" applyAlignment="1">
      <alignment horizontal="center" vertical="center"/>
    </xf>
    <xf numFmtId="0" fontId="1" fillId="25" borderId="25" xfId="1" applyFill="1" applyBorder="1" applyAlignment="1">
      <alignment horizontal="center" vertical="center"/>
    </xf>
    <xf numFmtId="0" fontId="1" fillId="25" borderId="8" xfId="1" applyFill="1" applyBorder="1" applyAlignment="1">
      <alignment horizontal="center" vertical="center"/>
    </xf>
    <xf numFmtId="0" fontId="1" fillId="25" borderId="24" xfId="1" applyFill="1" applyBorder="1" applyAlignment="1">
      <alignment horizontal="center" vertical="center"/>
    </xf>
    <xf numFmtId="0" fontId="1" fillId="26" borderId="20" xfId="1" applyFill="1" applyBorder="1" applyAlignment="1">
      <alignment horizontal="center" vertical="center"/>
    </xf>
    <xf numFmtId="0" fontId="1" fillId="26" borderId="23" xfId="1" applyFill="1" applyBorder="1" applyAlignment="1">
      <alignment horizontal="center" vertical="center"/>
    </xf>
    <xf numFmtId="0" fontId="1" fillId="26" borderId="8" xfId="1" applyFill="1" applyBorder="1" applyAlignment="1">
      <alignment horizontal="center" vertical="center"/>
    </xf>
    <xf numFmtId="0" fontId="1" fillId="20" borderId="16" xfId="1" applyFill="1" applyBorder="1" applyAlignment="1">
      <alignment horizontal="center" vertical="center"/>
    </xf>
    <xf numFmtId="0" fontId="1" fillId="20" borderId="20" xfId="1" applyFill="1" applyBorder="1" applyAlignment="1">
      <alignment horizontal="center" vertical="center"/>
    </xf>
    <xf numFmtId="0" fontId="1" fillId="20" borderId="17" xfId="1" applyFill="1" applyBorder="1" applyAlignment="1">
      <alignment horizontal="center" vertical="center"/>
    </xf>
    <xf numFmtId="0" fontId="1" fillId="20" borderId="8" xfId="1" applyFill="1" applyBorder="1" applyAlignment="1">
      <alignment horizontal="center" vertical="center"/>
    </xf>
  </cellXfs>
  <cellStyles count="2">
    <cellStyle name="Normal" xfId="0" builtinId="0"/>
    <cellStyle name="Normal 2" xfId="1" xr:uid="{0B938056-EE15-4B01-867E-FD969116014D}"/>
  </cellStyles>
  <dxfs count="21">
    <dxf>
      <font>
        <color rgb="FFFFCC00"/>
      </font>
    </dxf>
    <dxf>
      <font>
        <color rgb="FFFF0000"/>
      </font>
    </dxf>
    <dxf>
      <font>
        <color rgb="FF00B050"/>
      </font>
    </dxf>
    <dxf>
      <font>
        <color rgb="FF00B050"/>
      </font>
    </dxf>
    <dxf>
      <font>
        <color rgb="FFFFCC00"/>
      </font>
    </dxf>
    <dxf>
      <font>
        <color rgb="FFFF0000"/>
      </font>
    </dxf>
    <dxf>
      <font>
        <color rgb="FFFFFFFF"/>
      </font>
      <fill>
        <patternFill>
          <bgColor rgb="FF00FF00"/>
        </patternFill>
      </fill>
    </dxf>
    <dxf>
      <fill>
        <patternFill>
          <bgColor rgb="FFFFCC00"/>
        </patternFill>
      </fill>
    </dxf>
    <dxf>
      <fill>
        <patternFill>
          <bgColor rgb="FFFF0000"/>
        </patternFill>
      </fill>
    </dxf>
    <dxf>
      <font>
        <b/>
        <color rgb="FFFF0000"/>
      </font>
      <fill>
        <patternFill>
          <bgColor theme="5" tint="0.79989013336588644"/>
        </patternFill>
      </fill>
    </dxf>
    <dxf>
      <font>
        <b/>
        <color rgb="FFFFCC00"/>
      </font>
      <fill>
        <patternFill>
          <bgColor theme="9" tint="0.79989013336588644"/>
        </patternFill>
      </fill>
    </dxf>
    <dxf>
      <font>
        <b/>
        <color rgb="FF00B050"/>
      </font>
      <fill>
        <patternFill>
          <bgColor rgb="FFC9FFE1"/>
        </patternFill>
      </fill>
    </dxf>
    <dxf>
      <font>
        <color rgb="FFFF0000"/>
      </font>
    </dxf>
    <dxf>
      <font>
        <color rgb="FF00B050"/>
      </font>
    </dxf>
    <dxf>
      <font>
        <color rgb="FFFFCC00"/>
      </font>
    </dxf>
    <dxf>
      <font>
        <color rgb="FF000000"/>
      </font>
    </dxf>
    <dxf>
      <font>
        <color rgb="FFFFCC00"/>
      </font>
    </dxf>
    <dxf>
      <font>
        <color rgb="FFFF0000"/>
      </font>
    </dxf>
    <dxf>
      <font>
        <color rgb="FF00B050"/>
      </font>
    </dxf>
    <dxf>
      <font>
        <color rgb="FF000000"/>
      </font>
    </dxf>
    <dxf>
      <font>
        <b/>
        <color rgb="FFFF0000"/>
      </font>
    </dxf>
  </dxfs>
  <tableStyles count="0" defaultTableStyle="TableStyleMedium2" defaultPivotStyle="PivotStyleLight16"/>
  <colors>
    <indexedColors>
      <rgbColor rgb="FF000000"/>
      <rgbColor rgb="FFFFFFFF"/>
      <rgbColor rgb="FFFF0000"/>
      <rgbColor rgb="FF00FF00"/>
      <rgbColor rgb="FF0000FF"/>
      <rgbColor rgb="FFE2F0D9"/>
      <rgbColor rgb="FFFF00FF"/>
      <rgbColor rgb="FF00FFFF"/>
      <rgbColor rgb="FF800000"/>
      <rgbColor rgb="FF008000"/>
      <rgbColor rgb="FF000080"/>
      <rgbColor rgb="FF808000"/>
      <rgbColor rgb="FF800080"/>
      <rgbColor rgb="FF006A4D"/>
      <rgbColor rgb="FFB0B0B0"/>
      <rgbColor rgb="FF7A7A7A"/>
      <rgbColor rgb="FF8FAADC"/>
      <rgbColor rgb="FF993366"/>
      <rgbColor rgb="FFFFFFCC"/>
      <rgbColor rgb="FFDCEEE6"/>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AFFCD"/>
      <rgbColor rgb="FFC9FFE1"/>
      <rgbColor rgb="FFFBE5D6"/>
      <rgbColor rgb="FF9DC3E6"/>
      <rgbColor rgb="FFDEEBF7"/>
      <rgbColor rgb="FFDAE3F3"/>
      <rgbColor rgb="FFFFD966"/>
      <rgbColor rgb="FF3366FF"/>
      <rgbColor rgb="FF33CCCC"/>
      <rgbColor rgb="FF99CC00"/>
      <rgbColor rgb="FFFFCC00"/>
      <rgbColor rgb="FFFF9900"/>
      <rgbColor rgb="FFFF6600"/>
      <rgbColor rgb="FF666699"/>
      <rgbColor rgb="FFBFE3D4"/>
      <rgbColor rgb="FF003366"/>
      <rgbColor rgb="FF00B050"/>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17</xdr:col>
      <xdr:colOff>0</xdr:colOff>
      <xdr:row>16</xdr:row>
      <xdr:rowOff>59040</xdr:rowOff>
    </xdr:from>
    <xdr:to>
      <xdr:col>17</xdr:col>
      <xdr:colOff>0</xdr:colOff>
      <xdr:row>16</xdr:row>
      <xdr:rowOff>59400</xdr:rowOff>
    </xdr:to>
    <xdr:pic>
      <xdr:nvPicPr>
        <xdr:cNvPr id="2" name="Imag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16916400" y="13287240"/>
          <a:ext cx="0" cy="360"/>
        </a:xfrm>
        <a:prstGeom prst="rect">
          <a:avLst/>
        </a:prstGeom>
        <a:ln w="0">
          <a:noFill/>
        </a:ln>
      </xdr:spPr>
    </xdr:pic>
    <xdr:clientData/>
  </xdr:twoCellAnchor>
  <xdr:twoCellAnchor editAs="oneCell">
    <xdr:from>
      <xdr:col>17</xdr:col>
      <xdr:colOff>0</xdr:colOff>
      <xdr:row>16</xdr:row>
      <xdr:rowOff>59040</xdr:rowOff>
    </xdr:from>
    <xdr:to>
      <xdr:col>17</xdr:col>
      <xdr:colOff>0</xdr:colOff>
      <xdr:row>16</xdr:row>
      <xdr:rowOff>60480</xdr:rowOff>
    </xdr:to>
    <xdr:pic>
      <xdr:nvPicPr>
        <xdr:cNvPr id="3" name="Image 2" descr="Résultat de recherche d'images pour &quot;bbg feu&quot;">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16916400" y="13287240"/>
          <a:ext cx="0" cy="1440"/>
        </a:xfrm>
        <a:prstGeom prst="rect">
          <a:avLst/>
        </a:prstGeom>
        <a:ln w="0">
          <a:noFill/>
        </a:ln>
      </xdr:spPr>
    </xdr:pic>
    <xdr:clientData/>
  </xdr:twoCellAnchor>
  <xdr:twoCellAnchor editAs="oneCell">
    <xdr:from>
      <xdr:col>17</xdr:col>
      <xdr:colOff>0</xdr:colOff>
      <xdr:row>38</xdr:row>
      <xdr:rowOff>59040</xdr:rowOff>
    </xdr:from>
    <xdr:to>
      <xdr:col>17</xdr:col>
      <xdr:colOff>0</xdr:colOff>
      <xdr:row>38</xdr:row>
      <xdr:rowOff>60120</xdr:rowOff>
    </xdr:to>
    <xdr:pic>
      <xdr:nvPicPr>
        <xdr:cNvPr id="4" name="Image 3">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a:stretch/>
      </xdr:blipFill>
      <xdr:spPr>
        <a:xfrm>
          <a:off x="16916400" y="25317360"/>
          <a:ext cx="0" cy="1080"/>
        </a:xfrm>
        <a:prstGeom prst="rect">
          <a:avLst/>
        </a:prstGeom>
        <a:ln w="0">
          <a:noFill/>
        </a:ln>
      </xdr:spPr>
    </xdr:pic>
    <xdr:clientData/>
  </xdr:twoCellAnchor>
  <xdr:twoCellAnchor editAs="oneCell">
    <xdr:from>
      <xdr:col>17</xdr:col>
      <xdr:colOff>0</xdr:colOff>
      <xdr:row>31</xdr:row>
      <xdr:rowOff>59040</xdr:rowOff>
    </xdr:from>
    <xdr:to>
      <xdr:col>17</xdr:col>
      <xdr:colOff>0</xdr:colOff>
      <xdr:row>31</xdr:row>
      <xdr:rowOff>59400</xdr:rowOff>
    </xdr:to>
    <xdr:pic>
      <xdr:nvPicPr>
        <xdr:cNvPr id="10" name="Image 9">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16916400" y="20031120"/>
          <a:ext cx="0" cy="360"/>
        </a:xfrm>
        <a:prstGeom prst="rect">
          <a:avLst/>
        </a:prstGeom>
        <a:ln w="0">
          <a:noFill/>
        </a:ln>
      </xdr:spPr>
    </xdr:pic>
    <xdr:clientData/>
  </xdr:twoCellAnchor>
  <xdr:twoCellAnchor editAs="oneCell">
    <xdr:from>
      <xdr:col>17</xdr:col>
      <xdr:colOff>0</xdr:colOff>
      <xdr:row>31</xdr:row>
      <xdr:rowOff>59040</xdr:rowOff>
    </xdr:from>
    <xdr:to>
      <xdr:col>17</xdr:col>
      <xdr:colOff>0</xdr:colOff>
      <xdr:row>31</xdr:row>
      <xdr:rowOff>60480</xdr:rowOff>
    </xdr:to>
    <xdr:pic>
      <xdr:nvPicPr>
        <xdr:cNvPr id="11" name="Image 10" descr="Résultat de recherche d'images pour &quot;bbg feu&quot;">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2"/>
        <a:stretch/>
      </xdr:blipFill>
      <xdr:spPr>
        <a:xfrm>
          <a:off x="16916400" y="20031120"/>
          <a:ext cx="0" cy="144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an\AppData\Local\Microsoft\Olk\Attachments\ooa-a6896249-4245-4bd5-9f01-3d8c36e9f3fb\6d154b91397035ff813ee5f929639087fac1fa17c5195d4ac11c05b49c6b73c8\ERPT%20018_01%20Maintenance%20centrale%20dair%20animalerie.xlsm" TargetMode="External"/><Relationship Id="rId1" Type="http://schemas.openxmlformats.org/officeDocument/2006/relationships/externalLinkPath" Target="/Users/Jean/AppData/Local/Microsoft/Olk/Attachments/ooa-a6896249-4245-4bd5-9f01-3d8c36e9f3fb/6d154b91397035ff813ee5f929639087fac1fa17c5195d4ac11c05b49c6b73c8/ERPT%20018_01%20Maintenance%20centrale%20dair%20animaleri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ésentation de l'activité"/>
      <sheetName val="Sous-activité 1"/>
      <sheetName val="Suivi des actions 1"/>
      <sheetName val="Mode opératoire 1"/>
      <sheetName val="Sous-activité 2"/>
      <sheetName val="Suivi des actions 2"/>
      <sheetName val="Mode opératoire 2"/>
      <sheetName val="Sous-activité 3"/>
      <sheetName val="Suivi des actions 3"/>
      <sheetName val="Mode opératoire 3"/>
      <sheetName val="Sous-activité 4"/>
      <sheetName val="Suivi des actions 4"/>
      <sheetName val="Mode opératoire 4"/>
      <sheetName val="Cot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45"/>
  <sheetViews>
    <sheetView showGridLines="0" tabSelected="1" zoomScale="63" zoomScaleNormal="63" workbookViewId="0">
      <pane xSplit="2" ySplit="12" topLeftCell="C30" activePane="bottomRight" state="frozen"/>
      <selection pane="topRight" activeCell="C1" sqref="C1"/>
      <selection pane="bottomLeft" activeCell="A14" sqref="A14"/>
      <selection pane="bottomRight" activeCell="L13" sqref="L13:L43"/>
    </sheetView>
  </sheetViews>
  <sheetFormatPr baseColWidth="10" defaultColWidth="8.88671875" defaultRowHeight="14.4"/>
  <cols>
    <col min="1" max="1" width="15" customWidth="1"/>
    <col min="2" max="2" width="26" customWidth="1"/>
    <col min="3" max="3" width="29.6640625" customWidth="1"/>
    <col min="4" max="4" width="38" customWidth="1"/>
    <col min="5" max="9" width="9" customWidth="1"/>
    <col min="10" max="12" width="6" customWidth="1"/>
    <col min="13" max="13" width="7" customWidth="1"/>
    <col min="14" max="14" width="30" customWidth="1"/>
    <col min="15" max="15" width="8" customWidth="1"/>
    <col min="16" max="16" width="30" customWidth="1"/>
    <col min="17" max="17" width="8" customWidth="1"/>
    <col min="18" max="18" width="9" customWidth="1"/>
    <col min="19" max="19" width="30" customWidth="1"/>
    <col min="20" max="20" width="8" customWidth="1"/>
    <col min="21" max="21" width="30" customWidth="1"/>
    <col min="22" max="22" width="8" customWidth="1"/>
    <col min="23" max="26" width="9" customWidth="1"/>
    <col min="27" max="27" width="7" customWidth="1"/>
  </cols>
  <sheetData>
    <row r="1" spans="1:27" ht="14.25" customHeight="1">
      <c r="A1" s="28" t="s">
        <v>0</v>
      </c>
      <c r="B1" s="28"/>
      <c r="C1" s="28"/>
      <c r="D1" s="28"/>
      <c r="E1" s="28"/>
      <c r="F1" s="28"/>
      <c r="G1" s="28"/>
      <c r="H1" s="28"/>
      <c r="I1" s="28"/>
      <c r="J1" s="28"/>
      <c r="K1" s="28"/>
      <c r="L1" s="28"/>
      <c r="M1" s="28"/>
      <c r="N1" s="28"/>
      <c r="O1" s="28"/>
      <c r="P1" s="28"/>
      <c r="Q1" s="28"/>
      <c r="R1" s="28"/>
      <c r="S1" s="28"/>
      <c r="T1" s="28"/>
      <c r="U1" s="28"/>
      <c r="V1" s="28"/>
      <c r="W1" s="28"/>
      <c r="X1" s="28"/>
      <c r="Y1" s="28"/>
      <c r="Z1" s="28"/>
      <c r="AA1" s="28"/>
    </row>
    <row r="2" spans="1:27">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spans="1:27">
      <c r="A3" s="28"/>
      <c r="B3" s="28"/>
      <c r="C3" s="28"/>
      <c r="D3" s="28"/>
      <c r="E3" s="28"/>
      <c r="F3" s="28"/>
      <c r="G3" s="28"/>
      <c r="H3" s="28"/>
      <c r="I3" s="28"/>
      <c r="J3" s="28"/>
      <c r="K3" s="28"/>
      <c r="L3" s="28"/>
      <c r="M3" s="28"/>
      <c r="N3" s="28"/>
      <c r="O3" s="28"/>
      <c r="P3" s="28"/>
      <c r="Q3" s="28"/>
      <c r="R3" s="28"/>
      <c r="S3" s="28"/>
      <c r="T3" s="28"/>
      <c r="U3" s="28"/>
      <c r="V3" s="28"/>
      <c r="W3" s="28"/>
      <c r="X3" s="28"/>
      <c r="Y3" s="28"/>
      <c r="Z3" s="28"/>
      <c r="AA3" s="28"/>
    </row>
    <row r="6" spans="1:27" ht="21.75" customHeight="1">
      <c r="A6" s="29" t="s">
        <v>1</v>
      </c>
      <c r="B6" s="29"/>
      <c r="C6" s="3" t="s">
        <v>2</v>
      </c>
    </row>
    <row r="10" spans="1:27" ht="23.85" customHeight="1">
      <c r="A10" s="2"/>
      <c r="B10" s="27" t="s">
        <v>3</v>
      </c>
      <c r="C10" s="27" t="s">
        <v>4</v>
      </c>
      <c r="D10" s="27" t="s">
        <v>5</v>
      </c>
      <c r="E10" s="27" t="s">
        <v>6</v>
      </c>
      <c r="F10" s="27"/>
      <c r="G10" s="27"/>
      <c r="H10" s="27"/>
      <c r="I10" s="27"/>
      <c r="J10" s="27" t="s">
        <v>7</v>
      </c>
      <c r="K10" s="27"/>
      <c r="L10" s="27"/>
      <c r="M10" s="27" t="s">
        <v>8</v>
      </c>
      <c r="N10" s="27" t="s">
        <v>9</v>
      </c>
      <c r="O10" s="27"/>
      <c r="P10" s="27"/>
      <c r="Q10" s="27"/>
      <c r="R10" s="27"/>
      <c r="S10" s="27"/>
      <c r="T10" s="27"/>
      <c r="U10" s="27"/>
      <c r="V10" s="27"/>
      <c r="W10" s="27"/>
      <c r="X10" s="27" t="s">
        <v>10</v>
      </c>
      <c r="Y10" s="27" t="s">
        <v>11</v>
      </c>
      <c r="Z10" s="27" t="s">
        <v>12</v>
      </c>
      <c r="AA10" s="27" t="s">
        <v>13</v>
      </c>
    </row>
    <row r="11" spans="1:27" ht="14.25" customHeight="1">
      <c r="A11" s="1"/>
      <c r="B11" s="27"/>
      <c r="C11" s="27"/>
      <c r="D11" s="27"/>
      <c r="E11" s="25" t="s">
        <v>14</v>
      </c>
      <c r="F11" s="25" t="s">
        <v>15</v>
      </c>
      <c r="G11" s="25" t="s">
        <v>16</v>
      </c>
      <c r="H11" s="25" t="s">
        <v>17</v>
      </c>
      <c r="I11" s="25" t="s">
        <v>18</v>
      </c>
      <c r="J11" s="25" t="s">
        <v>19</v>
      </c>
      <c r="K11" s="25" t="s">
        <v>20</v>
      </c>
      <c r="L11" s="25" t="s">
        <v>21</v>
      </c>
      <c r="M11" s="27"/>
      <c r="N11" s="25" t="s">
        <v>22</v>
      </c>
      <c r="O11" s="25"/>
      <c r="P11" s="25"/>
      <c r="Q11" s="25"/>
      <c r="R11" s="25" t="s">
        <v>23</v>
      </c>
      <c r="S11" s="25" t="s">
        <v>24</v>
      </c>
      <c r="T11" s="25"/>
      <c r="U11" s="25"/>
      <c r="V11" s="25"/>
      <c r="W11" s="25" t="s">
        <v>25</v>
      </c>
      <c r="X11" s="27"/>
      <c r="Y11" s="27"/>
      <c r="Z11" s="27"/>
      <c r="AA11" s="27"/>
    </row>
    <row r="12" spans="1:27" ht="85.2" customHeight="1">
      <c r="A12" s="1"/>
      <c r="B12" s="27"/>
      <c r="C12" s="27"/>
      <c r="D12" s="27"/>
      <c r="E12" s="27"/>
      <c r="F12" s="27"/>
      <c r="G12" s="27"/>
      <c r="H12" s="27"/>
      <c r="I12" s="27"/>
      <c r="J12" s="27"/>
      <c r="K12" s="27"/>
      <c r="L12" s="27"/>
      <c r="M12" s="27"/>
      <c r="N12" s="1" t="s">
        <v>26</v>
      </c>
      <c r="O12" s="1" t="s">
        <v>27</v>
      </c>
      <c r="P12" s="1" t="s">
        <v>28</v>
      </c>
      <c r="Q12" s="1" t="s">
        <v>29</v>
      </c>
      <c r="R12" s="25"/>
      <c r="S12" s="1" t="s">
        <v>30</v>
      </c>
      <c r="T12" s="1" t="s">
        <v>31</v>
      </c>
      <c r="U12" s="1" t="s">
        <v>32</v>
      </c>
      <c r="V12" s="1" t="s">
        <v>33</v>
      </c>
      <c r="W12" s="25"/>
      <c r="X12" s="25"/>
      <c r="Y12" s="25"/>
      <c r="Z12" s="25"/>
      <c r="AA12" s="25"/>
    </row>
    <row r="13" spans="1:27" ht="172.8">
      <c r="A13" s="26" t="s">
        <v>34</v>
      </c>
      <c r="B13" s="4" t="s">
        <v>35</v>
      </c>
      <c r="C13" s="5" t="s">
        <v>36</v>
      </c>
      <c r="D13" s="4" t="s">
        <v>37</v>
      </c>
      <c r="E13" s="4"/>
      <c r="F13" s="4"/>
      <c r="G13" s="6"/>
      <c r="H13" s="6"/>
      <c r="I13" s="6"/>
      <c r="J13" s="7">
        <v>3</v>
      </c>
      <c r="K13" s="7">
        <v>2</v>
      </c>
      <c r="L13" s="7" t="s">
        <v>49</v>
      </c>
      <c r="M13" s="8" t="e">
        <f t="shared" ref="M13:M43" si="0">J13*K13*L13</f>
        <v>#VALUE!</v>
      </c>
      <c r="N13" s="9" t="s">
        <v>38</v>
      </c>
      <c r="O13" s="7">
        <v>0.5</v>
      </c>
      <c r="P13" s="10" t="s">
        <v>39</v>
      </c>
      <c r="Q13" s="7">
        <v>0.5</v>
      </c>
      <c r="R13" s="11">
        <f t="shared" ref="R13:R43" si="1">PRODUCT(O13,Q13)</f>
        <v>0.25</v>
      </c>
      <c r="S13" s="10" t="s">
        <v>40</v>
      </c>
      <c r="T13" s="7">
        <v>0.5</v>
      </c>
      <c r="U13" s="10" t="s">
        <v>41</v>
      </c>
      <c r="V13" s="7">
        <v>0.5</v>
      </c>
      <c r="W13" s="11">
        <f t="shared" ref="W13:W43" si="2">PRODUCT(T13,V13)</f>
        <v>0.25</v>
      </c>
      <c r="X13" s="12">
        <f>HLOOKUP(R13,Cotation!$D$76:$M$86,MATCH(W13,Cotation!$C$76:$C$86,0),FALSE)</f>
        <v>0.25</v>
      </c>
      <c r="Y13" s="13">
        <f t="shared" ref="Y13:Y43" si="3">IF(X13&lt;0.75,IF(X13&lt;=0.5,1,2),3)</f>
        <v>1</v>
      </c>
      <c r="Z13" s="14" t="e">
        <f t="shared" ref="Z13:Z43" si="4">M13*X13</f>
        <v>#VALUE!</v>
      </c>
      <c r="AA13" s="15" t="s">
        <v>19</v>
      </c>
    </row>
    <row r="14" spans="1:27" ht="115.2">
      <c r="A14" s="26"/>
      <c r="B14" s="4" t="s">
        <v>42</v>
      </c>
      <c r="C14" s="5" t="s">
        <v>36</v>
      </c>
      <c r="D14" s="16" t="s">
        <v>43</v>
      </c>
      <c r="E14" s="4"/>
      <c r="F14" s="4"/>
      <c r="G14" s="6"/>
      <c r="H14" s="6"/>
      <c r="I14" s="6"/>
      <c r="J14" s="7">
        <v>3</v>
      </c>
      <c r="K14" s="7">
        <v>2</v>
      </c>
      <c r="L14" s="7" t="s">
        <v>49</v>
      </c>
      <c r="M14" s="8" t="e">
        <f t="shared" si="0"/>
        <v>#VALUE!</v>
      </c>
      <c r="N14" s="17" t="s">
        <v>44</v>
      </c>
      <c r="O14" s="7">
        <v>1</v>
      </c>
      <c r="P14" s="10" t="s">
        <v>45</v>
      </c>
      <c r="Q14" s="7">
        <v>0.5</v>
      </c>
      <c r="R14" s="11">
        <f t="shared" si="1"/>
        <v>0.5</v>
      </c>
      <c r="S14" s="10" t="s">
        <v>46</v>
      </c>
      <c r="T14" s="7">
        <v>0.5</v>
      </c>
      <c r="U14" s="10" t="s">
        <v>41</v>
      </c>
      <c r="V14" s="7">
        <v>0.5</v>
      </c>
      <c r="W14" s="11">
        <f t="shared" si="2"/>
        <v>0.25</v>
      </c>
      <c r="X14" s="12">
        <f>HLOOKUP(R14,Cotation!$D$76:$M$86,MATCH(W14,Cotation!$C$76:$C$86,0),FALSE)</f>
        <v>0.375</v>
      </c>
      <c r="Y14" s="13">
        <f t="shared" si="3"/>
        <v>1</v>
      </c>
      <c r="Z14" s="14" t="e">
        <f t="shared" si="4"/>
        <v>#VALUE!</v>
      </c>
      <c r="AA14" s="15" t="s">
        <v>19</v>
      </c>
    </row>
    <row r="15" spans="1:27">
      <c r="A15" s="26"/>
      <c r="B15" s="6" t="s">
        <v>47</v>
      </c>
      <c r="C15" s="18" t="s">
        <v>48</v>
      </c>
      <c r="D15" s="6" t="s">
        <v>47</v>
      </c>
      <c r="E15" s="6"/>
      <c r="F15" s="6"/>
      <c r="G15" s="6"/>
      <c r="H15" s="6"/>
      <c r="I15" s="6"/>
      <c r="J15" s="7" t="s">
        <v>49</v>
      </c>
      <c r="K15" s="7" t="s">
        <v>49</v>
      </c>
      <c r="L15" s="7" t="s">
        <v>49</v>
      </c>
      <c r="M15" s="15" t="e">
        <f t="shared" si="0"/>
        <v>#VALUE!</v>
      </c>
      <c r="N15" s="19"/>
      <c r="O15" s="7">
        <v>1</v>
      </c>
      <c r="P15" s="6"/>
      <c r="Q15" s="7">
        <v>1</v>
      </c>
      <c r="R15" s="11">
        <f t="shared" si="1"/>
        <v>1</v>
      </c>
      <c r="S15" s="20"/>
      <c r="T15" s="7">
        <v>1</v>
      </c>
      <c r="U15" s="6"/>
      <c r="V15" s="7">
        <v>1</v>
      </c>
      <c r="W15" s="11">
        <f t="shared" si="2"/>
        <v>1</v>
      </c>
      <c r="X15" s="12">
        <f>HLOOKUP(R15,Cotation!$D$76:$M$86,MATCH(W15,Cotation!$C$76:$C$86,0),FALSE)</f>
        <v>1</v>
      </c>
      <c r="Y15" s="13">
        <f t="shared" si="3"/>
        <v>3</v>
      </c>
      <c r="Z15" s="14" t="e">
        <f t="shared" si="4"/>
        <v>#VALUE!</v>
      </c>
      <c r="AA15" s="15" t="e">
        <f>#VALUE!</f>
        <v>#VALUE!</v>
      </c>
    </row>
    <row r="16" spans="1:27">
      <c r="A16" s="26"/>
      <c r="B16" s="4" t="s">
        <v>47</v>
      </c>
      <c r="C16" s="18" t="s">
        <v>50</v>
      </c>
      <c r="D16" s="6" t="s">
        <v>47</v>
      </c>
      <c r="E16" s="6"/>
      <c r="F16" s="6"/>
      <c r="G16" s="6"/>
      <c r="H16" s="6"/>
      <c r="I16" s="6"/>
      <c r="J16" s="7" t="s">
        <v>49</v>
      </c>
      <c r="K16" s="7" t="s">
        <v>49</v>
      </c>
      <c r="L16" s="7" t="s">
        <v>49</v>
      </c>
      <c r="M16" s="15" t="e">
        <f t="shared" si="0"/>
        <v>#VALUE!</v>
      </c>
      <c r="N16" s="17"/>
      <c r="O16" s="7">
        <v>1</v>
      </c>
      <c r="P16" s="6"/>
      <c r="Q16" s="7">
        <v>1</v>
      </c>
      <c r="R16" s="11">
        <f t="shared" si="1"/>
        <v>1</v>
      </c>
      <c r="S16" s="20"/>
      <c r="T16" s="7">
        <v>1</v>
      </c>
      <c r="U16" s="4"/>
      <c r="V16" s="7">
        <v>1</v>
      </c>
      <c r="W16" s="11">
        <f t="shared" si="2"/>
        <v>1</v>
      </c>
      <c r="X16" s="12">
        <f>HLOOKUP(R16,Cotation!$D$76:$M$86,MATCH(W16,Cotation!$C$76:$C$86,0),FALSE)</f>
        <v>1</v>
      </c>
      <c r="Y16" s="13">
        <f t="shared" si="3"/>
        <v>3</v>
      </c>
      <c r="Z16" s="14" t="e">
        <f t="shared" si="4"/>
        <v>#VALUE!</v>
      </c>
      <c r="AA16" s="15" t="e">
        <f>#VALUE!</f>
        <v>#VALUE!</v>
      </c>
    </row>
    <row r="17" spans="1:27">
      <c r="A17" s="26"/>
      <c r="B17" s="6" t="s">
        <v>47</v>
      </c>
      <c r="C17" s="18" t="s">
        <v>51</v>
      </c>
      <c r="D17" s="6" t="s">
        <v>47</v>
      </c>
      <c r="E17" s="6"/>
      <c r="F17" s="6"/>
      <c r="G17" s="6"/>
      <c r="H17" s="6"/>
      <c r="I17" s="6"/>
      <c r="J17" s="7" t="s">
        <v>49</v>
      </c>
      <c r="K17" s="7" t="s">
        <v>49</v>
      </c>
      <c r="L17" s="7" t="s">
        <v>49</v>
      </c>
      <c r="M17" s="15" t="e">
        <f t="shared" si="0"/>
        <v>#VALUE!</v>
      </c>
      <c r="N17" s="20"/>
      <c r="O17" s="7">
        <v>1</v>
      </c>
      <c r="P17" s="6"/>
      <c r="Q17" s="7">
        <v>1</v>
      </c>
      <c r="R17" s="11">
        <f t="shared" si="1"/>
        <v>1</v>
      </c>
      <c r="S17" s="20"/>
      <c r="T17" s="7">
        <v>1</v>
      </c>
      <c r="U17" s="6"/>
      <c r="V17" s="7">
        <v>1</v>
      </c>
      <c r="W17" s="11">
        <f t="shared" si="2"/>
        <v>1</v>
      </c>
      <c r="X17" s="12">
        <f>HLOOKUP(R17,Cotation!$D$76:$M$86,MATCH(W17,Cotation!$C$76:$C$86,0),FALSE)</f>
        <v>1</v>
      </c>
      <c r="Y17" s="13">
        <f t="shared" si="3"/>
        <v>3</v>
      </c>
      <c r="Z17" s="14" t="e">
        <f t="shared" si="4"/>
        <v>#VALUE!</v>
      </c>
      <c r="AA17" s="15" t="e">
        <f>#VALUE!</f>
        <v>#VALUE!</v>
      </c>
    </row>
    <row r="18" spans="1:27" ht="72" customHeight="1">
      <c r="A18" s="26"/>
      <c r="B18" s="4" t="s">
        <v>52</v>
      </c>
      <c r="C18" s="18" t="s">
        <v>53</v>
      </c>
      <c r="D18" s="6" t="s">
        <v>47</v>
      </c>
      <c r="E18" s="6"/>
      <c r="F18" s="6"/>
      <c r="G18" s="6"/>
      <c r="H18" s="6"/>
      <c r="I18" s="6"/>
      <c r="J18" s="7" t="s">
        <v>49</v>
      </c>
      <c r="K18" s="7" t="s">
        <v>49</v>
      </c>
      <c r="L18" s="7" t="s">
        <v>49</v>
      </c>
      <c r="M18" s="15" t="e">
        <f t="shared" si="0"/>
        <v>#VALUE!</v>
      </c>
      <c r="N18" s="20"/>
      <c r="O18" s="7">
        <v>1</v>
      </c>
      <c r="P18" s="16"/>
      <c r="Q18" s="7">
        <v>1</v>
      </c>
      <c r="R18" s="11">
        <f t="shared" si="1"/>
        <v>1</v>
      </c>
      <c r="S18" s="21"/>
      <c r="T18" s="7">
        <v>1</v>
      </c>
      <c r="U18" s="4"/>
      <c r="V18" s="7">
        <v>1</v>
      </c>
      <c r="W18" s="11">
        <f t="shared" si="2"/>
        <v>1</v>
      </c>
      <c r="X18" s="12">
        <f>HLOOKUP(R18,Cotation!$D$76:$M$86,MATCH(W18,Cotation!$C$76:$C$86,0),FALSE)</f>
        <v>1</v>
      </c>
      <c r="Y18" s="13">
        <f t="shared" si="3"/>
        <v>3</v>
      </c>
      <c r="Z18" s="14" t="e">
        <f t="shared" si="4"/>
        <v>#VALUE!</v>
      </c>
      <c r="AA18" s="15" t="e">
        <f>#VALUE!</f>
        <v>#VALUE!</v>
      </c>
    </row>
    <row r="19" spans="1:27">
      <c r="A19" s="26"/>
      <c r="B19" s="4" t="s">
        <v>47</v>
      </c>
      <c r="C19" s="18" t="s">
        <v>54</v>
      </c>
      <c r="D19" s="6" t="s">
        <v>47</v>
      </c>
      <c r="E19" s="4"/>
      <c r="F19" s="6"/>
      <c r="G19" s="6"/>
      <c r="H19" s="6"/>
      <c r="I19" s="6"/>
      <c r="J19" s="7" t="s">
        <v>49</v>
      </c>
      <c r="K19" s="7" t="s">
        <v>49</v>
      </c>
      <c r="L19" s="7" t="s">
        <v>49</v>
      </c>
      <c r="M19" s="15" t="e">
        <f t="shared" si="0"/>
        <v>#VALUE!</v>
      </c>
      <c r="N19" s="17"/>
      <c r="O19" s="7">
        <v>1</v>
      </c>
      <c r="P19" s="6"/>
      <c r="Q19" s="7">
        <v>1</v>
      </c>
      <c r="R19" s="11">
        <f t="shared" si="1"/>
        <v>1</v>
      </c>
      <c r="S19" s="17"/>
      <c r="T19" s="7">
        <v>1</v>
      </c>
      <c r="U19" s="4"/>
      <c r="V19" s="7">
        <v>1</v>
      </c>
      <c r="W19" s="11">
        <f t="shared" si="2"/>
        <v>1</v>
      </c>
      <c r="X19" s="12">
        <f>HLOOKUP(R19,Cotation!$D$76:$M$86,MATCH(W19,Cotation!$C$76:$C$86,0),FALSE)</f>
        <v>1</v>
      </c>
      <c r="Y19" s="13">
        <f t="shared" si="3"/>
        <v>3</v>
      </c>
      <c r="Z19" s="14" t="e">
        <f t="shared" si="4"/>
        <v>#VALUE!</v>
      </c>
      <c r="AA19" s="15" t="e">
        <f>#VALUE!</f>
        <v>#VALUE!</v>
      </c>
    </row>
    <row r="20" spans="1:27" ht="86.25" customHeight="1">
      <c r="A20" s="26"/>
      <c r="B20" s="4" t="s">
        <v>47</v>
      </c>
      <c r="C20" s="5" t="s">
        <v>55</v>
      </c>
      <c r="D20" s="6" t="s">
        <v>47</v>
      </c>
      <c r="E20" s="6"/>
      <c r="F20" s="6"/>
      <c r="G20" s="6"/>
      <c r="H20" s="6"/>
      <c r="I20" s="6"/>
      <c r="J20" s="7" t="s">
        <v>49</v>
      </c>
      <c r="K20" s="7" t="s">
        <v>49</v>
      </c>
      <c r="L20" s="7" t="s">
        <v>49</v>
      </c>
      <c r="M20" s="15" t="e">
        <f t="shared" si="0"/>
        <v>#VALUE!</v>
      </c>
      <c r="N20" s="20"/>
      <c r="O20" s="7">
        <v>1</v>
      </c>
      <c r="P20" s="4"/>
      <c r="Q20" s="7">
        <v>1</v>
      </c>
      <c r="R20" s="11">
        <f t="shared" si="1"/>
        <v>1</v>
      </c>
      <c r="S20" s="17"/>
      <c r="T20" s="7">
        <v>1</v>
      </c>
      <c r="U20" s="4"/>
      <c r="V20" s="7">
        <v>1</v>
      </c>
      <c r="W20" s="11">
        <f t="shared" si="2"/>
        <v>1</v>
      </c>
      <c r="X20" s="12">
        <f>HLOOKUP(R20,Cotation!$D$76:$M$86,MATCH(W20,Cotation!$C$76:$C$86,0),FALSE)</f>
        <v>1</v>
      </c>
      <c r="Y20" s="13">
        <f t="shared" si="3"/>
        <v>3</v>
      </c>
      <c r="Z20" s="14" t="e">
        <f t="shared" si="4"/>
        <v>#VALUE!</v>
      </c>
      <c r="AA20" s="15" t="e">
        <f>#VALUE!</f>
        <v>#VALUE!</v>
      </c>
    </row>
    <row r="21" spans="1:27">
      <c r="A21" s="26"/>
      <c r="B21" s="6" t="s">
        <v>47</v>
      </c>
      <c r="C21" s="18" t="s">
        <v>56</v>
      </c>
      <c r="D21" s="6" t="s">
        <v>47</v>
      </c>
      <c r="E21" s="6"/>
      <c r="F21" s="6"/>
      <c r="G21" s="6"/>
      <c r="H21" s="6"/>
      <c r="I21" s="6"/>
      <c r="J21" s="7" t="s">
        <v>49</v>
      </c>
      <c r="K21" s="7" t="s">
        <v>49</v>
      </c>
      <c r="L21" s="7" t="s">
        <v>49</v>
      </c>
      <c r="M21" s="15" t="e">
        <f t="shared" si="0"/>
        <v>#VALUE!</v>
      </c>
      <c r="N21" s="20"/>
      <c r="O21" s="7">
        <v>1</v>
      </c>
      <c r="P21" s="6"/>
      <c r="Q21" s="7">
        <v>1</v>
      </c>
      <c r="R21" s="11">
        <f t="shared" si="1"/>
        <v>1</v>
      </c>
      <c r="S21" s="20"/>
      <c r="T21" s="7">
        <v>1</v>
      </c>
      <c r="U21" s="6"/>
      <c r="V21" s="7">
        <v>1</v>
      </c>
      <c r="W21" s="11">
        <f t="shared" si="2"/>
        <v>1</v>
      </c>
      <c r="X21" s="12">
        <f>HLOOKUP(R21,Cotation!$D$76:$M$86,MATCH(W21,Cotation!$C$76:$C$86,0),FALSE)</f>
        <v>1</v>
      </c>
      <c r="Y21" s="13">
        <f t="shared" si="3"/>
        <v>3</v>
      </c>
      <c r="Z21" s="14" t="e">
        <f t="shared" si="4"/>
        <v>#VALUE!</v>
      </c>
      <c r="AA21" s="15" t="e">
        <f>#VALUE!</f>
        <v>#VALUE!</v>
      </c>
    </row>
    <row r="22" spans="1:27">
      <c r="A22" s="26"/>
      <c r="B22" s="4" t="s">
        <v>47</v>
      </c>
      <c r="C22" s="18" t="s">
        <v>57</v>
      </c>
      <c r="D22" s="6" t="s">
        <v>47</v>
      </c>
      <c r="E22" s="6"/>
      <c r="F22" s="4"/>
      <c r="G22" s="6"/>
      <c r="H22" s="4"/>
      <c r="I22" s="6"/>
      <c r="J22" s="7" t="s">
        <v>49</v>
      </c>
      <c r="K22" s="7" t="s">
        <v>49</v>
      </c>
      <c r="L22" s="7" t="s">
        <v>49</v>
      </c>
      <c r="M22" s="15" t="e">
        <f t="shared" si="0"/>
        <v>#VALUE!</v>
      </c>
      <c r="N22" s="17"/>
      <c r="O22" s="7">
        <v>1</v>
      </c>
      <c r="P22" s="4"/>
      <c r="Q22" s="7">
        <v>1</v>
      </c>
      <c r="R22" s="11">
        <f t="shared" si="1"/>
        <v>1</v>
      </c>
      <c r="S22" s="17"/>
      <c r="T22" s="7">
        <v>1</v>
      </c>
      <c r="U22" s="4"/>
      <c r="V22" s="7">
        <v>1</v>
      </c>
      <c r="W22" s="11">
        <f t="shared" si="2"/>
        <v>1</v>
      </c>
      <c r="X22" s="12">
        <f>HLOOKUP(R22,Cotation!$D$76:$M$86,MATCH(W22,Cotation!$C$76:$C$86,0),FALSE)</f>
        <v>1</v>
      </c>
      <c r="Y22" s="13">
        <f t="shared" si="3"/>
        <v>3</v>
      </c>
      <c r="Z22" s="14" t="e">
        <f t="shared" si="4"/>
        <v>#VALUE!</v>
      </c>
      <c r="AA22" s="15" t="e">
        <f>#VALUE!</f>
        <v>#VALUE!</v>
      </c>
    </row>
    <row r="23" spans="1:27">
      <c r="A23" s="26"/>
      <c r="B23" s="6" t="s">
        <v>47</v>
      </c>
      <c r="C23" s="18" t="s">
        <v>58</v>
      </c>
      <c r="D23" s="6" t="s">
        <v>47</v>
      </c>
      <c r="E23" s="6"/>
      <c r="F23" s="6"/>
      <c r="G23" s="6"/>
      <c r="H23" s="6"/>
      <c r="I23" s="6"/>
      <c r="J23" s="7" t="s">
        <v>49</v>
      </c>
      <c r="K23" s="7" t="s">
        <v>49</v>
      </c>
      <c r="L23" s="7" t="s">
        <v>49</v>
      </c>
      <c r="M23" s="15" t="e">
        <f t="shared" si="0"/>
        <v>#VALUE!</v>
      </c>
      <c r="N23" s="20"/>
      <c r="O23" s="7">
        <v>1</v>
      </c>
      <c r="P23" s="6"/>
      <c r="Q23" s="7">
        <v>1</v>
      </c>
      <c r="R23" s="11">
        <f t="shared" si="1"/>
        <v>1</v>
      </c>
      <c r="S23" s="20"/>
      <c r="T23" s="7">
        <v>1</v>
      </c>
      <c r="U23" s="6"/>
      <c r="V23" s="7">
        <v>1</v>
      </c>
      <c r="W23" s="11">
        <f t="shared" si="2"/>
        <v>1</v>
      </c>
      <c r="X23" s="12">
        <f>HLOOKUP(R23,Cotation!$D$76:$M$86,MATCH(W23,Cotation!$C$76:$C$86,0),FALSE)</f>
        <v>1</v>
      </c>
      <c r="Y23" s="13">
        <f t="shared" si="3"/>
        <v>3</v>
      </c>
      <c r="Z23" s="14" t="e">
        <f t="shared" si="4"/>
        <v>#VALUE!</v>
      </c>
      <c r="AA23" s="15" t="e">
        <f>#VALUE!</f>
        <v>#VALUE!</v>
      </c>
    </row>
    <row r="24" spans="1:27">
      <c r="A24" s="26"/>
      <c r="B24" s="4" t="s">
        <v>47</v>
      </c>
      <c r="C24" s="18" t="s">
        <v>59</v>
      </c>
      <c r="D24" s="6" t="s">
        <v>47</v>
      </c>
      <c r="E24" s="4"/>
      <c r="F24" s="6"/>
      <c r="G24" s="6"/>
      <c r="H24" s="6"/>
      <c r="I24" s="6"/>
      <c r="J24" s="7" t="s">
        <v>49</v>
      </c>
      <c r="K24" s="7" t="s">
        <v>49</v>
      </c>
      <c r="L24" s="7" t="s">
        <v>49</v>
      </c>
      <c r="M24" s="15" t="e">
        <f t="shared" si="0"/>
        <v>#VALUE!</v>
      </c>
      <c r="N24" s="20"/>
      <c r="O24" s="7">
        <v>1</v>
      </c>
      <c r="P24" s="4"/>
      <c r="Q24" s="7">
        <v>1</v>
      </c>
      <c r="R24" s="11">
        <f t="shared" si="1"/>
        <v>1</v>
      </c>
      <c r="S24" s="17"/>
      <c r="T24" s="7">
        <v>1</v>
      </c>
      <c r="U24" s="4"/>
      <c r="V24" s="7">
        <v>1</v>
      </c>
      <c r="W24" s="11">
        <f t="shared" si="2"/>
        <v>1</v>
      </c>
      <c r="X24" s="12">
        <f>HLOOKUP(R24,Cotation!$D$76:$M$86,MATCH(W24,Cotation!$C$76:$C$86,0),FALSE)</f>
        <v>1</v>
      </c>
      <c r="Y24" s="13">
        <f t="shared" si="3"/>
        <v>3</v>
      </c>
      <c r="Z24" s="14" t="e">
        <f t="shared" si="4"/>
        <v>#VALUE!</v>
      </c>
      <c r="AA24" s="15" t="e">
        <f>#VALUE!</f>
        <v>#VALUE!</v>
      </c>
    </row>
    <row r="25" spans="1:27">
      <c r="A25" s="26"/>
      <c r="B25" s="6" t="s">
        <v>52</v>
      </c>
      <c r="C25" s="18" t="s">
        <v>60</v>
      </c>
      <c r="D25" s="6" t="s">
        <v>47</v>
      </c>
      <c r="E25" s="6"/>
      <c r="F25" s="6"/>
      <c r="G25" s="6"/>
      <c r="H25" s="6"/>
      <c r="I25" s="6"/>
      <c r="J25" s="7" t="s">
        <v>49</v>
      </c>
      <c r="K25" s="7" t="s">
        <v>49</v>
      </c>
      <c r="L25" s="7" t="s">
        <v>49</v>
      </c>
      <c r="M25" s="15" t="e">
        <f t="shared" si="0"/>
        <v>#VALUE!</v>
      </c>
      <c r="N25" s="20"/>
      <c r="O25" s="7">
        <v>1</v>
      </c>
      <c r="P25" s="6"/>
      <c r="Q25" s="7">
        <v>1</v>
      </c>
      <c r="R25" s="11">
        <f t="shared" si="1"/>
        <v>1</v>
      </c>
      <c r="S25" s="20"/>
      <c r="T25" s="7">
        <v>1</v>
      </c>
      <c r="U25" s="6"/>
      <c r="V25" s="7">
        <v>1</v>
      </c>
      <c r="W25" s="11">
        <f t="shared" si="2"/>
        <v>1</v>
      </c>
      <c r="X25" s="12">
        <f>HLOOKUP(R25,Cotation!$D$76:$M$86,MATCH(W25,Cotation!$C$76:$C$86,0),FALSE)</f>
        <v>1</v>
      </c>
      <c r="Y25" s="13">
        <f t="shared" si="3"/>
        <v>3</v>
      </c>
      <c r="Z25" s="14" t="e">
        <f t="shared" si="4"/>
        <v>#VALUE!</v>
      </c>
      <c r="AA25" s="15" t="e">
        <f>#VALUE!</f>
        <v>#VALUE!</v>
      </c>
    </row>
    <row r="26" spans="1:27">
      <c r="A26" s="26"/>
      <c r="B26" s="6" t="s">
        <v>47</v>
      </c>
      <c r="C26" s="18" t="s">
        <v>61</v>
      </c>
      <c r="D26" s="6" t="s">
        <v>47</v>
      </c>
      <c r="E26" s="6"/>
      <c r="F26" s="6"/>
      <c r="G26" s="6"/>
      <c r="H26" s="6"/>
      <c r="I26" s="6"/>
      <c r="J26" s="7" t="s">
        <v>49</v>
      </c>
      <c r="K26" s="7" t="s">
        <v>49</v>
      </c>
      <c r="L26" s="7" t="s">
        <v>49</v>
      </c>
      <c r="M26" s="15" t="e">
        <f t="shared" si="0"/>
        <v>#VALUE!</v>
      </c>
      <c r="N26" s="20"/>
      <c r="O26" s="7">
        <v>1</v>
      </c>
      <c r="P26" s="6"/>
      <c r="Q26" s="7">
        <v>1</v>
      </c>
      <c r="R26" s="11">
        <f t="shared" si="1"/>
        <v>1</v>
      </c>
      <c r="S26" s="20"/>
      <c r="T26" s="7">
        <v>1</v>
      </c>
      <c r="U26" s="6"/>
      <c r="V26" s="7">
        <v>1</v>
      </c>
      <c r="W26" s="11">
        <f t="shared" si="2"/>
        <v>1</v>
      </c>
      <c r="X26" s="12">
        <f>HLOOKUP(R26,Cotation!$D$76:$M$86,MATCH(W26,Cotation!$C$76:$C$86,0),FALSE)</f>
        <v>1</v>
      </c>
      <c r="Y26" s="13">
        <f t="shared" si="3"/>
        <v>3</v>
      </c>
      <c r="Z26" s="14" t="e">
        <f t="shared" si="4"/>
        <v>#VALUE!</v>
      </c>
      <c r="AA26" s="15" t="e">
        <f>#VALUE!</f>
        <v>#VALUE!</v>
      </c>
    </row>
    <row r="27" spans="1:27" ht="72" customHeight="1">
      <c r="A27" s="26"/>
      <c r="B27" s="4" t="s">
        <v>62</v>
      </c>
      <c r="C27" s="18" t="s">
        <v>63</v>
      </c>
      <c r="D27" s="4" t="s">
        <v>64</v>
      </c>
      <c r="E27" s="6"/>
      <c r="F27" s="6"/>
      <c r="G27" s="6"/>
      <c r="H27" s="6"/>
      <c r="I27" s="6"/>
      <c r="J27" s="7" t="s">
        <v>49</v>
      </c>
      <c r="K27" s="7" t="s">
        <v>49</v>
      </c>
      <c r="L27" s="7" t="s">
        <v>49</v>
      </c>
      <c r="M27" s="15" t="e">
        <f t="shared" si="0"/>
        <v>#VALUE!</v>
      </c>
      <c r="N27" s="20"/>
      <c r="O27" s="7">
        <v>1</v>
      </c>
      <c r="P27" s="6"/>
      <c r="Q27" s="7">
        <v>1</v>
      </c>
      <c r="R27" s="11">
        <f t="shared" si="1"/>
        <v>1</v>
      </c>
      <c r="S27" s="17"/>
      <c r="T27" s="7">
        <v>1</v>
      </c>
      <c r="U27" s="6"/>
      <c r="V27" s="7">
        <v>1</v>
      </c>
      <c r="W27" s="11">
        <f t="shared" si="2"/>
        <v>1</v>
      </c>
      <c r="X27" s="12">
        <f>HLOOKUP(R27,Cotation!$D$76:$M$86,MATCH(W27,Cotation!$C$76:$C$86,0),FALSE)</f>
        <v>1</v>
      </c>
      <c r="Y27" s="13">
        <f t="shared" si="3"/>
        <v>3</v>
      </c>
      <c r="Z27" s="14" t="e">
        <f t="shared" si="4"/>
        <v>#VALUE!</v>
      </c>
      <c r="AA27" s="15" t="e">
        <f>#VALUE!</f>
        <v>#VALUE!</v>
      </c>
    </row>
    <row r="28" spans="1:27" ht="129.75" customHeight="1">
      <c r="A28" s="26"/>
      <c r="B28" s="6" t="s">
        <v>47</v>
      </c>
      <c r="C28" s="5" t="s">
        <v>65</v>
      </c>
      <c r="D28" s="6" t="s">
        <v>47</v>
      </c>
      <c r="E28" s="6"/>
      <c r="F28" s="6"/>
      <c r="G28" s="6"/>
      <c r="H28" s="6"/>
      <c r="I28" s="6"/>
      <c r="J28" s="7" t="s">
        <v>49</v>
      </c>
      <c r="K28" s="7" t="s">
        <v>49</v>
      </c>
      <c r="L28" s="7" t="s">
        <v>49</v>
      </c>
      <c r="M28" s="15" t="e">
        <f t="shared" si="0"/>
        <v>#VALUE!</v>
      </c>
      <c r="N28" s="20"/>
      <c r="O28" s="7">
        <v>1</v>
      </c>
      <c r="P28" s="6"/>
      <c r="Q28" s="7">
        <v>1</v>
      </c>
      <c r="R28" s="11">
        <f t="shared" si="1"/>
        <v>1</v>
      </c>
      <c r="S28" s="20"/>
      <c r="T28" s="7">
        <v>1</v>
      </c>
      <c r="U28" s="6"/>
      <c r="V28" s="7">
        <v>1</v>
      </c>
      <c r="W28" s="11">
        <f t="shared" si="2"/>
        <v>1</v>
      </c>
      <c r="X28" s="12">
        <f>HLOOKUP(R28,Cotation!$D$76:$M$86,MATCH(W28,Cotation!$C$76:$C$86,0),FALSE)</f>
        <v>1</v>
      </c>
      <c r="Y28" s="13">
        <f t="shared" si="3"/>
        <v>3</v>
      </c>
      <c r="Z28" s="14" t="e">
        <f t="shared" si="4"/>
        <v>#VALUE!</v>
      </c>
      <c r="AA28" s="15" t="e">
        <f>#VALUE!</f>
        <v>#VALUE!</v>
      </c>
    </row>
    <row r="29" spans="1:27" ht="28.5" customHeight="1">
      <c r="A29" s="24" t="s">
        <v>66</v>
      </c>
      <c r="B29" s="6" t="s">
        <v>67</v>
      </c>
      <c r="C29" s="5" t="s">
        <v>36</v>
      </c>
      <c r="D29" s="6" t="s">
        <v>47</v>
      </c>
      <c r="E29" s="6"/>
      <c r="F29" s="6"/>
      <c r="G29" s="6"/>
      <c r="H29" s="6"/>
      <c r="I29" s="6"/>
      <c r="J29" s="7" t="s">
        <v>49</v>
      </c>
      <c r="K29" s="7" t="s">
        <v>49</v>
      </c>
      <c r="L29" s="7" t="s">
        <v>49</v>
      </c>
      <c r="M29" s="15" t="e">
        <f t="shared" si="0"/>
        <v>#VALUE!</v>
      </c>
      <c r="N29" s="20"/>
      <c r="O29" s="7">
        <v>1</v>
      </c>
      <c r="P29" s="6"/>
      <c r="Q29" s="7">
        <v>1</v>
      </c>
      <c r="R29" s="11">
        <f t="shared" si="1"/>
        <v>1</v>
      </c>
      <c r="S29" s="20"/>
      <c r="T29" s="7">
        <v>1</v>
      </c>
      <c r="U29" s="6"/>
      <c r="V29" s="7">
        <v>1</v>
      </c>
      <c r="W29" s="11">
        <f t="shared" si="2"/>
        <v>1</v>
      </c>
      <c r="X29" s="12">
        <f>HLOOKUP(R29,Cotation!$D$76:$M$86,MATCH(W29,Cotation!$C$76:$C$86,0),FALSE)</f>
        <v>1</v>
      </c>
      <c r="Y29" s="13">
        <f t="shared" si="3"/>
        <v>3</v>
      </c>
      <c r="Z29" s="14" t="e">
        <f t="shared" si="4"/>
        <v>#VALUE!</v>
      </c>
      <c r="AA29" s="15" t="e">
        <f>#VALUE!</f>
        <v>#VALUE!</v>
      </c>
    </row>
    <row r="30" spans="1:27">
      <c r="A30" s="24"/>
      <c r="B30" s="6" t="s">
        <v>47</v>
      </c>
      <c r="C30" s="18" t="s">
        <v>48</v>
      </c>
      <c r="D30" s="6" t="s">
        <v>47</v>
      </c>
      <c r="E30" s="6"/>
      <c r="F30" s="6"/>
      <c r="G30" s="6"/>
      <c r="H30" s="6"/>
      <c r="I30" s="6"/>
      <c r="J30" s="7" t="s">
        <v>49</v>
      </c>
      <c r="K30" s="7" t="s">
        <v>49</v>
      </c>
      <c r="L30" s="7" t="s">
        <v>49</v>
      </c>
      <c r="M30" s="15" t="e">
        <f t="shared" si="0"/>
        <v>#VALUE!</v>
      </c>
      <c r="N30" s="20"/>
      <c r="O30" s="7">
        <v>1</v>
      </c>
      <c r="P30" s="6"/>
      <c r="Q30" s="7">
        <v>1</v>
      </c>
      <c r="R30" s="11">
        <f t="shared" si="1"/>
        <v>1</v>
      </c>
      <c r="S30" s="20"/>
      <c r="T30" s="7">
        <v>1</v>
      </c>
      <c r="U30" s="6"/>
      <c r="V30" s="7">
        <v>1</v>
      </c>
      <c r="W30" s="11">
        <f t="shared" si="2"/>
        <v>1</v>
      </c>
      <c r="X30" s="12">
        <f>HLOOKUP(R30,Cotation!$D$76:$M$86,MATCH(W30,Cotation!$C$76:$C$86,0),FALSE)</f>
        <v>1</v>
      </c>
      <c r="Y30" s="13">
        <f t="shared" si="3"/>
        <v>3</v>
      </c>
      <c r="Z30" s="14" t="e">
        <f t="shared" si="4"/>
        <v>#VALUE!</v>
      </c>
      <c r="AA30" s="15" t="e">
        <f>#VALUE!</f>
        <v>#VALUE!</v>
      </c>
    </row>
    <row r="31" spans="1:27">
      <c r="A31" s="24"/>
      <c r="B31" s="6" t="s">
        <v>47</v>
      </c>
      <c r="C31" s="18" t="s">
        <v>50</v>
      </c>
      <c r="D31" s="6" t="s">
        <v>47</v>
      </c>
      <c r="E31" s="6"/>
      <c r="F31" s="6"/>
      <c r="G31" s="6"/>
      <c r="H31" s="6"/>
      <c r="I31" s="6"/>
      <c r="J31" s="7" t="s">
        <v>49</v>
      </c>
      <c r="K31" s="7" t="s">
        <v>49</v>
      </c>
      <c r="L31" s="7" t="s">
        <v>49</v>
      </c>
      <c r="M31" s="15" t="e">
        <f t="shared" si="0"/>
        <v>#VALUE!</v>
      </c>
      <c r="N31" s="20"/>
      <c r="O31" s="7">
        <v>1</v>
      </c>
      <c r="P31" s="6"/>
      <c r="Q31" s="7">
        <v>1</v>
      </c>
      <c r="R31" s="11">
        <f t="shared" si="1"/>
        <v>1</v>
      </c>
      <c r="S31" s="20"/>
      <c r="T31" s="7">
        <v>1</v>
      </c>
      <c r="U31" s="6"/>
      <c r="V31" s="7">
        <v>1</v>
      </c>
      <c r="W31" s="11">
        <f t="shared" si="2"/>
        <v>1</v>
      </c>
      <c r="X31" s="12">
        <f>HLOOKUP(R31,Cotation!$D$76:$M$86,MATCH(W31,Cotation!$C$76:$C$86,0),FALSE)</f>
        <v>1</v>
      </c>
      <c r="Y31" s="13">
        <f t="shared" si="3"/>
        <v>3</v>
      </c>
      <c r="Z31" s="14" t="e">
        <f t="shared" si="4"/>
        <v>#VALUE!</v>
      </c>
      <c r="AA31" s="15" t="e">
        <f>#VALUE!</f>
        <v>#VALUE!</v>
      </c>
    </row>
    <row r="32" spans="1:27">
      <c r="A32" s="24"/>
      <c r="B32" s="6" t="s">
        <v>47</v>
      </c>
      <c r="C32" s="18" t="s">
        <v>51</v>
      </c>
      <c r="D32" s="6" t="s">
        <v>47</v>
      </c>
      <c r="E32" s="6"/>
      <c r="F32" s="6"/>
      <c r="G32" s="6"/>
      <c r="H32" s="6"/>
      <c r="I32" s="6"/>
      <c r="J32" s="7" t="s">
        <v>49</v>
      </c>
      <c r="K32" s="7" t="s">
        <v>49</v>
      </c>
      <c r="L32" s="7" t="s">
        <v>49</v>
      </c>
      <c r="M32" s="15" t="e">
        <f t="shared" si="0"/>
        <v>#VALUE!</v>
      </c>
      <c r="N32" s="20"/>
      <c r="O32" s="7">
        <v>1</v>
      </c>
      <c r="P32" s="6"/>
      <c r="Q32" s="7">
        <v>1</v>
      </c>
      <c r="R32" s="11">
        <f t="shared" si="1"/>
        <v>1</v>
      </c>
      <c r="S32" s="20"/>
      <c r="T32" s="7">
        <v>1</v>
      </c>
      <c r="U32" s="6"/>
      <c r="V32" s="7">
        <v>1</v>
      </c>
      <c r="W32" s="11">
        <f t="shared" si="2"/>
        <v>1</v>
      </c>
      <c r="X32" s="12">
        <f>HLOOKUP(R32,Cotation!$D$76:$M$86,MATCH(W32,Cotation!$C$76:$C$86,0),FALSE)</f>
        <v>1</v>
      </c>
      <c r="Y32" s="13">
        <f t="shared" si="3"/>
        <v>3</v>
      </c>
      <c r="Z32" s="14" t="e">
        <f t="shared" si="4"/>
        <v>#VALUE!</v>
      </c>
      <c r="AA32" s="15" t="e">
        <f>#VALUE!</f>
        <v>#VALUE!</v>
      </c>
    </row>
    <row r="33" spans="1:27" ht="100.8">
      <c r="A33" s="24"/>
      <c r="B33" s="4" t="s">
        <v>68</v>
      </c>
      <c r="C33" s="18" t="s">
        <v>53</v>
      </c>
      <c r="D33" s="4" t="s">
        <v>69</v>
      </c>
      <c r="E33" s="6"/>
      <c r="F33" s="6"/>
      <c r="G33" s="6"/>
      <c r="H33" s="6"/>
      <c r="I33" s="6"/>
      <c r="J33" s="7" t="s">
        <v>49</v>
      </c>
      <c r="K33" s="7" t="s">
        <v>49</v>
      </c>
      <c r="L33" s="7" t="s">
        <v>49</v>
      </c>
      <c r="M33" s="22" t="e">
        <f t="shared" si="0"/>
        <v>#VALUE!</v>
      </c>
      <c r="N33" s="20" t="s">
        <v>44</v>
      </c>
      <c r="O33" s="7">
        <v>1</v>
      </c>
      <c r="P33" s="9" t="s">
        <v>70</v>
      </c>
      <c r="Q33" s="7">
        <v>0.5</v>
      </c>
      <c r="R33" s="11">
        <f t="shared" si="1"/>
        <v>0.5</v>
      </c>
      <c r="S33" s="9" t="s">
        <v>71</v>
      </c>
      <c r="T33" s="7">
        <v>0.5</v>
      </c>
      <c r="U33" s="10" t="s">
        <v>72</v>
      </c>
      <c r="V33" s="7">
        <v>0.5</v>
      </c>
      <c r="W33" s="11">
        <f t="shared" si="2"/>
        <v>0.25</v>
      </c>
      <c r="X33" s="12">
        <f>HLOOKUP(R33,Cotation!$D$76:$M$86,MATCH(W33,Cotation!$C$76:$C$86,0),FALSE)</f>
        <v>0.375</v>
      </c>
      <c r="Y33" s="13">
        <f t="shared" si="3"/>
        <v>1</v>
      </c>
      <c r="Z33" s="14" t="e">
        <f t="shared" si="4"/>
        <v>#VALUE!</v>
      </c>
      <c r="AA33" s="15" t="s">
        <v>19</v>
      </c>
    </row>
    <row r="34" spans="1:27">
      <c r="A34" s="24"/>
      <c r="B34" s="6" t="s">
        <v>47</v>
      </c>
      <c r="C34" s="18" t="s">
        <v>54</v>
      </c>
      <c r="D34" s="6" t="s">
        <v>47</v>
      </c>
      <c r="E34" s="6"/>
      <c r="F34" s="6"/>
      <c r="G34" s="6"/>
      <c r="H34" s="6"/>
      <c r="I34" s="6"/>
      <c r="J34" s="7" t="s">
        <v>49</v>
      </c>
      <c r="K34" s="7" t="s">
        <v>49</v>
      </c>
      <c r="L34" s="7" t="s">
        <v>49</v>
      </c>
      <c r="M34" s="15" t="e">
        <f t="shared" si="0"/>
        <v>#VALUE!</v>
      </c>
      <c r="N34" s="20"/>
      <c r="O34" s="7">
        <v>1</v>
      </c>
      <c r="P34" s="6"/>
      <c r="Q34" s="7">
        <v>1</v>
      </c>
      <c r="R34" s="11">
        <f t="shared" si="1"/>
        <v>1</v>
      </c>
      <c r="S34" s="20"/>
      <c r="T34" s="7">
        <v>1</v>
      </c>
      <c r="U34" s="6"/>
      <c r="V34" s="7">
        <v>1</v>
      </c>
      <c r="W34" s="11">
        <f t="shared" si="2"/>
        <v>1</v>
      </c>
      <c r="X34" s="12">
        <f>HLOOKUP(R34,Cotation!$D$76:$M$86,MATCH(W34,Cotation!$C$76:$C$86,0),FALSE)</f>
        <v>1</v>
      </c>
      <c r="Y34" s="13">
        <f t="shared" si="3"/>
        <v>3</v>
      </c>
      <c r="Z34" s="14" t="e">
        <f t="shared" si="4"/>
        <v>#VALUE!</v>
      </c>
      <c r="AA34" s="15" t="e">
        <f>#VALUE!</f>
        <v>#VALUE!</v>
      </c>
    </row>
    <row r="35" spans="1:27">
      <c r="A35" s="24"/>
      <c r="B35" s="6" t="s">
        <v>47</v>
      </c>
      <c r="C35" s="18" t="s">
        <v>55</v>
      </c>
      <c r="D35" s="6" t="s">
        <v>47</v>
      </c>
      <c r="E35" s="6"/>
      <c r="F35" s="6"/>
      <c r="G35" s="6"/>
      <c r="H35" s="6"/>
      <c r="I35" s="6"/>
      <c r="J35" s="7" t="s">
        <v>49</v>
      </c>
      <c r="K35" s="7" t="s">
        <v>49</v>
      </c>
      <c r="L35" s="7" t="s">
        <v>49</v>
      </c>
      <c r="M35" s="15" t="e">
        <f t="shared" si="0"/>
        <v>#VALUE!</v>
      </c>
      <c r="N35" s="20"/>
      <c r="O35" s="7">
        <v>1</v>
      </c>
      <c r="P35" s="6"/>
      <c r="Q35" s="7">
        <v>1</v>
      </c>
      <c r="R35" s="11">
        <f t="shared" si="1"/>
        <v>1</v>
      </c>
      <c r="S35" s="20"/>
      <c r="T35" s="7">
        <v>1</v>
      </c>
      <c r="U35" s="6"/>
      <c r="V35" s="7">
        <v>1</v>
      </c>
      <c r="W35" s="11">
        <f t="shared" si="2"/>
        <v>1</v>
      </c>
      <c r="X35" s="12">
        <f>HLOOKUP(R35,Cotation!$D$76:$M$86,MATCH(W35,Cotation!$C$76:$C$86,0),FALSE)</f>
        <v>1</v>
      </c>
      <c r="Y35" s="13">
        <f t="shared" si="3"/>
        <v>3</v>
      </c>
      <c r="Z35" s="14" t="e">
        <f t="shared" si="4"/>
        <v>#VALUE!</v>
      </c>
      <c r="AA35" s="15" t="e">
        <f>#VALUE!</f>
        <v>#VALUE!</v>
      </c>
    </row>
    <row r="36" spans="1:27">
      <c r="A36" s="24"/>
      <c r="B36" s="6" t="s">
        <v>47</v>
      </c>
      <c r="C36" s="18" t="s">
        <v>56</v>
      </c>
      <c r="D36" s="6" t="s">
        <v>47</v>
      </c>
      <c r="E36" s="6"/>
      <c r="F36" s="6"/>
      <c r="G36" s="6"/>
      <c r="H36" s="6"/>
      <c r="I36" s="6"/>
      <c r="J36" s="7" t="s">
        <v>49</v>
      </c>
      <c r="K36" s="7" t="s">
        <v>49</v>
      </c>
      <c r="L36" s="7" t="s">
        <v>49</v>
      </c>
      <c r="M36" s="15" t="e">
        <f t="shared" si="0"/>
        <v>#VALUE!</v>
      </c>
      <c r="N36" s="20"/>
      <c r="O36" s="7">
        <v>1</v>
      </c>
      <c r="P36" s="6"/>
      <c r="Q36" s="7">
        <v>1</v>
      </c>
      <c r="R36" s="11">
        <f t="shared" si="1"/>
        <v>1</v>
      </c>
      <c r="S36" s="20"/>
      <c r="T36" s="7">
        <v>1</v>
      </c>
      <c r="U36" s="6"/>
      <c r="V36" s="7">
        <v>1</v>
      </c>
      <c r="W36" s="11">
        <f t="shared" si="2"/>
        <v>1</v>
      </c>
      <c r="X36" s="12">
        <f>HLOOKUP(R36,Cotation!$D$76:$M$86,MATCH(W36,Cotation!$C$76:$C$86,0),FALSE)</f>
        <v>1</v>
      </c>
      <c r="Y36" s="13">
        <f t="shared" si="3"/>
        <v>3</v>
      </c>
      <c r="Z36" s="14" t="e">
        <f t="shared" si="4"/>
        <v>#VALUE!</v>
      </c>
      <c r="AA36" s="15" t="e">
        <f>#VALUE!</f>
        <v>#VALUE!</v>
      </c>
    </row>
    <row r="37" spans="1:27">
      <c r="A37" s="24"/>
      <c r="B37" s="4" t="s">
        <v>47</v>
      </c>
      <c r="C37" s="18" t="s">
        <v>57</v>
      </c>
      <c r="D37" s="6" t="s">
        <v>47</v>
      </c>
      <c r="E37" s="4"/>
      <c r="F37" s="4"/>
      <c r="G37" s="6"/>
      <c r="H37" s="4"/>
      <c r="I37" s="6"/>
      <c r="J37" s="7" t="s">
        <v>49</v>
      </c>
      <c r="K37" s="7" t="s">
        <v>49</v>
      </c>
      <c r="L37" s="7" t="s">
        <v>49</v>
      </c>
      <c r="M37" s="15" t="e">
        <f t="shared" si="0"/>
        <v>#VALUE!</v>
      </c>
      <c r="N37" s="20"/>
      <c r="O37" s="7">
        <v>1</v>
      </c>
      <c r="P37" s="6"/>
      <c r="Q37" s="7">
        <v>1</v>
      </c>
      <c r="R37" s="11">
        <f t="shared" si="1"/>
        <v>1</v>
      </c>
      <c r="S37" s="17"/>
      <c r="T37" s="7">
        <v>1</v>
      </c>
      <c r="U37" s="4"/>
      <c r="V37" s="7">
        <v>1</v>
      </c>
      <c r="W37" s="11">
        <f t="shared" si="2"/>
        <v>1</v>
      </c>
      <c r="X37" s="12">
        <f>HLOOKUP(R37,Cotation!$D$76:$M$86,MATCH(W37,Cotation!$C$76:$C$86,0),FALSE)</f>
        <v>1</v>
      </c>
      <c r="Y37" s="13">
        <f t="shared" si="3"/>
        <v>3</v>
      </c>
      <c r="Z37" s="14" t="e">
        <f t="shared" si="4"/>
        <v>#VALUE!</v>
      </c>
      <c r="AA37" s="15" t="e">
        <f>#VALUE!</f>
        <v>#VALUE!</v>
      </c>
    </row>
    <row r="38" spans="1:27">
      <c r="A38" s="24"/>
      <c r="B38" s="6" t="s">
        <v>73</v>
      </c>
      <c r="C38" s="18" t="s">
        <v>58</v>
      </c>
      <c r="D38" s="6" t="s">
        <v>47</v>
      </c>
      <c r="E38" s="6"/>
      <c r="F38" s="6"/>
      <c r="G38" s="6"/>
      <c r="H38" s="6"/>
      <c r="I38" s="6"/>
      <c r="J38" s="7" t="s">
        <v>49</v>
      </c>
      <c r="K38" s="7" t="s">
        <v>49</v>
      </c>
      <c r="L38" s="7" t="s">
        <v>49</v>
      </c>
      <c r="M38" s="15" t="e">
        <f t="shared" si="0"/>
        <v>#VALUE!</v>
      </c>
      <c r="N38" s="20"/>
      <c r="O38" s="7">
        <v>1</v>
      </c>
      <c r="P38" s="6"/>
      <c r="Q38" s="7">
        <v>1</v>
      </c>
      <c r="R38" s="11">
        <f t="shared" si="1"/>
        <v>1</v>
      </c>
      <c r="S38" s="20"/>
      <c r="T38" s="7">
        <v>1</v>
      </c>
      <c r="U38" s="6"/>
      <c r="V38" s="7">
        <v>1</v>
      </c>
      <c r="W38" s="11">
        <f t="shared" si="2"/>
        <v>1</v>
      </c>
      <c r="X38" s="12">
        <f>HLOOKUP(R38,Cotation!$D$76:$M$86,MATCH(W38,Cotation!$C$76:$C$86,0),FALSE)</f>
        <v>1</v>
      </c>
      <c r="Y38" s="13">
        <f t="shared" si="3"/>
        <v>3</v>
      </c>
      <c r="Z38" s="14" t="e">
        <f t="shared" si="4"/>
        <v>#VALUE!</v>
      </c>
      <c r="AA38" s="15" t="e">
        <f>#VALUE!</f>
        <v>#VALUE!</v>
      </c>
    </row>
    <row r="39" spans="1:27">
      <c r="A39" s="24"/>
      <c r="B39" s="6" t="s">
        <v>47</v>
      </c>
      <c r="C39" s="18" t="s">
        <v>59</v>
      </c>
      <c r="D39" s="6" t="s">
        <v>47</v>
      </c>
      <c r="E39" s="6"/>
      <c r="F39" s="6"/>
      <c r="G39" s="6"/>
      <c r="H39" s="6"/>
      <c r="I39" s="6"/>
      <c r="J39" s="7" t="s">
        <v>49</v>
      </c>
      <c r="K39" s="7" t="s">
        <v>49</v>
      </c>
      <c r="L39" s="7" t="s">
        <v>49</v>
      </c>
      <c r="M39" s="15" t="e">
        <f t="shared" si="0"/>
        <v>#VALUE!</v>
      </c>
      <c r="N39" s="20"/>
      <c r="O39" s="7">
        <v>1</v>
      </c>
      <c r="P39" s="6"/>
      <c r="Q39" s="7">
        <v>1</v>
      </c>
      <c r="R39" s="11">
        <f t="shared" si="1"/>
        <v>1</v>
      </c>
      <c r="S39" s="20"/>
      <c r="T39" s="7">
        <v>1</v>
      </c>
      <c r="U39" s="6"/>
      <c r="V39" s="7">
        <v>1</v>
      </c>
      <c r="W39" s="11">
        <f t="shared" si="2"/>
        <v>1</v>
      </c>
      <c r="X39" s="12">
        <f>HLOOKUP(R39,Cotation!$D$76:$M$86,MATCH(W39,Cotation!$C$76:$C$86,0),FALSE)</f>
        <v>1</v>
      </c>
      <c r="Y39" s="13">
        <f t="shared" si="3"/>
        <v>3</v>
      </c>
      <c r="Z39" s="14" t="e">
        <f t="shared" si="4"/>
        <v>#VALUE!</v>
      </c>
      <c r="AA39" s="15" t="e">
        <f>#VALUE!</f>
        <v>#VALUE!</v>
      </c>
    </row>
    <row r="40" spans="1:27" ht="115.2">
      <c r="A40" s="24"/>
      <c r="B40" s="6" t="s">
        <v>73</v>
      </c>
      <c r="C40" s="18" t="s">
        <v>60</v>
      </c>
      <c r="D40" s="4" t="s">
        <v>74</v>
      </c>
      <c r="E40" s="6"/>
      <c r="F40" s="6"/>
      <c r="G40" s="6"/>
      <c r="H40" s="6"/>
      <c r="I40" s="6"/>
      <c r="J40" s="7" t="s">
        <v>49</v>
      </c>
      <c r="K40" s="7" t="s">
        <v>49</v>
      </c>
      <c r="L40" s="7" t="s">
        <v>49</v>
      </c>
      <c r="M40" s="22" t="e">
        <f t="shared" si="0"/>
        <v>#VALUE!</v>
      </c>
      <c r="N40" s="10" t="s">
        <v>75</v>
      </c>
      <c r="O40" s="7">
        <v>0.5</v>
      </c>
      <c r="P40" s="4" t="s">
        <v>44</v>
      </c>
      <c r="Q40" s="7">
        <v>1</v>
      </c>
      <c r="R40" s="11">
        <f t="shared" si="1"/>
        <v>0.5</v>
      </c>
      <c r="S40" s="9" t="s">
        <v>76</v>
      </c>
      <c r="T40" s="7">
        <v>0.5</v>
      </c>
      <c r="U40" s="10" t="s">
        <v>77</v>
      </c>
      <c r="V40" s="7">
        <v>0.5</v>
      </c>
      <c r="W40" s="11">
        <f t="shared" si="2"/>
        <v>0.25</v>
      </c>
      <c r="X40" s="12">
        <f>HLOOKUP(R40,Cotation!$D$76:$M$86,MATCH(W40,Cotation!$C$76:$C$86,0),FALSE)</f>
        <v>0.375</v>
      </c>
      <c r="Y40" s="13">
        <f t="shared" si="3"/>
        <v>1</v>
      </c>
      <c r="Z40" s="14" t="e">
        <f t="shared" si="4"/>
        <v>#VALUE!</v>
      </c>
      <c r="AA40" s="15" t="s">
        <v>19</v>
      </c>
    </row>
    <row r="41" spans="1:27">
      <c r="A41" s="24"/>
      <c r="B41" s="6" t="s">
        <v>47</v>
      </c>
      <c r="C41" s="18" t="s">
        <v>61</v>
      </c>
      <c r="D41" s="6"/>
      <c r="E41" s="6"/>
      <c r="F41" s="6"/>
      <c r="G41" s="6"/>
      <c r="H41" s="6"/>
      <c r="I41" s="6"/>
      <c r="J41" s="7" t="s">
        <v>49</v>
      </c>
      <c r="K41" s="7" t="s">
        <v>49</v>
      </c>
      <c r="L41" s="7" t="s">
        <v>49</v>
      </c>
      <c r="M41" s="15" t="e">
        <f t="shared" si="0"/>
        <v>#VALUE!</v>
      </c>
      <c r="N41" s="20"/>
      <c r="O41" s="7">
        <v>1</v>
      </c>
      <c r="P41" s="6"/>
      <c r="Q41" s="7">
        <v>1</v>
      </c>
      <c r="R41" s="11">
        <f t="shared" si="1"/>
        <v>1</v>
      </c>
      <c r="S41" s="20"/>
      <c r="T41" s="7">
        <v>1</v>
      </c>
      <c r="U41" s="6"/>
      <c r="V41" s="7">
        <v>1</v>
      </c>
      <c r="W41" s="11">
        <f t="shared" si="2"/>
        <v>1</v>
      </c>
      <c r="X41" s="12">
        <f>HLOOKUP(R41,Cotation!$D$76:$M$86,MATCH(W41,Cotation!$C$76:$C$86,0),FALSE)</f>
        <v>1</v>
      </c>
      <c r="Y41" s="13">
        <f t="shared" si="3"/>
        <v>3</v>
      </c>
      <c r="Z41" s="14" t="e">
        <f t="shared" si="4"/>
        <v>#VALUE!</v>
      </c>
      <c r="AA41" s="15" t="e">
        <f>#VALUE!</f>
        <v>#VALUE!</v>
      </c>
    </row>
    <row r="42" spans="1:27">
      <c r="A42" s="24"/>
      <c r="B42" s="6" t="s">
        <v>67</v>
      </c>
      <c r="C42" s="18" t="s">
        <v>63</v>
      </c>
      <c r="D42" s="6"/>
      <c r="E42" s="6"/>
      <c r="F42" s="6"/>
      <c r="G42" s="6"/>
      <c r="H42" s="6"/>
      <c r="I42" s="6"/>
      <c r="J42" s="7" t="s">
        <v>49</v>
      </c>
      <c r="K42" s="7" t="s">
        <v>49</v>
      </c>
      <c r="L42" s="7" t="s">
        <v>49</v>
      </c>
      <c r="M42" s="15" t="e">
        <f t="shared" si="0"/>
        <v>#VALUE!</v>
      </c>
      <c r="N42" s="20"/>
      <c r="O42" s="7">
        <v>1</v>
      </c>
      <c r="P42" s="6"/>
      <c r="Q42" s="7">
        <v>1</v>
      </c>
      <c r="R42" s="11">
        <f t="shared" si="1"/>
        <v>1</v>
      </c>
      <c r="S42" s="20"/>
      <c r="T42" s="7">
        <v>1</v>
      </c>
      <c r="U42" s="6"/>
      <c r="V42" s="7">
        <v>1</v>
      </c>
      <c r="W42" s="11">
        <f t="shared" si="2"/>
        <v>1</v>
      </c>
      <c r="X42" s="12">
        <f>HLOOKUP(R42,Cotation!$D$76:$M$86,MATCH(W42,Cotation!$C$76:$C$86,0),FALSE)</f>
        <v>1</v>
      </c>
      <c r="Y42" s="13">
        <f t="shared" si="3"/>
        <v>3</v>
      </c>
      <c r="Z42" s="14" t="e">
        <f t="shared" si="4"/>
        <v>#VALUE!</v>
      </c>
      <c r="AA42" s="15" t="e">
        <f>#VALUE!</f>
        <v>#VALUE!</v>
      </c>
    </row>
    <row r="43" spans="1:27">
      <c r="A43" s="24"/>
      <c r="B43" s="6" t="s">
        <v>47</v>
      </c>
      <c r="C43" s="18" t="s">
        <v>65</v>
      </c>
      <c r="D43" s="6"/>
      <c r="E43" s="6"/>
      <c r="F43" s="6"/>
      <c r="G43" s="6"/>
      <c r="H43" s="6"/>
      <c r="I43" s="6"/>
      <c r="J43" s="7" t="s">
        <v>49</v>
      </c>
      <c r="K43" s="7" t="s">
        <v>49</v>
      </c>
      <c r="L43" s="7" t="s">
        <v>49</v>
      </c>
      <c r="M43" s="15" t="e">
        <f t="shared" si="0"/>
        <v>#VALUE!</v>
      </c>
      <c r="N43" s="20"/>
      <c r="O43" s="7">
        <v>1</v>
      </c>
      <c r="P43" s="6"/>
      <c r="Q43" s="7">
        <v>1</v>
      </c>
      <c r="R43" s="11">
        <f t="shared" si="1"/>
        <v>1</v>
      </c>
      <c r="S43" s="20"/>
      <c r="T43" s="7">
        <v>1</v>
      </c>
      <c r="U43" s="6"/>
      <c r="V43" s="7">
        <v>1</v>
      </c>
      <c r="W43" s="11">
        <f t="shared" si="2"/>
        <v>1</v>
      </c>
      <c r="X43" s="12">
        <f>HLOOKUP(R43,Cotation!$D$76:$M$86,MATCH(W43,Cotation!$C$76:$C$86,0),FALSE)</f>
        <v>1</v>
      </c>
      <c r="Y43" s="13">
        <f t="shared" si="3"/>
        <v>3</v>
      </c>
      <c r="Z43" s="14" t="e">
        <f t="shared" si="4"/>
        <v>#VALUE!</v>
      </c>
      <c r="AA43" s="15" t="e">
        <f>#VALUE!</f>
        <v>#VALUE!</v>
      </c>
    </row>
    <row r="45" spans="1:27">
      <c r="A45" s="23" t="s">
        <v>78</v>
      </c>
    </row>
  </sheetData>
  <mergeCells count="27">
    <mergeCell ref="A1:AA3"/>
    <mergeCell ref="A6:B6"/>
    <mergeCell ref="B10:B12"/>
    <mergeCell ref="C10:C12"/>
    <mergeCell ref="D10:D12"/>
    <mergeCell ref="E10:I10"/>
    <mergeCell ref="J10:L10"/>
    <mergeCell ref="M10:M12"/>
    <mergeCell ref="N10:W10"/>
    <mergeCell ref="X10:X12"/>
    <mergeCell ref="Y10:Y12"/>
    <mergeCell ref="Z10:Z12"/>
    <mergeCell ref="AA10:AA12"/>
    <mergeCell ref="E11:E12"/>
    <mergeCell ref="F11:F12"/>
    <mergeCell ref="G11:G12"/>
    <mergeCell ref="A29:A43"/>
    <mergeCell ref="N11:Q11"/>
    <mergeCell ref="R11:R12"/>
    <mergeCell ref="S11:V11"/>
    <mergeCell ref="W11:W12"/>
    <mergeCell ref="A13:A28"/>
    <mergeCell ref="H11:H12"/>
    <mergeCell ref="I11:I12"/>
    <mergeCell ref="J11:J12"/>
    <mergeCell ref="K11:K12"/>
    <mergeCell ref="L11:L12"/>
  </mergeCells>
  <conditionalFormatting sqref="L13:L43">
    <cfRule type="cellIs" dxfId="20" priority="16" operator="greaterThanOrEqual">
      <formula>4</formula>
    </cfRule>
  </conditionalFormatting>
  <conditionalFormatting sqref="R13:R43">
    <cfRule type="cellIs" dxfId="19" priority="6" operator="equal">
      <formula>1</formula>
    </cfRule>
    <cfRule type="cellIs" dxfId="18" priority="7" operator="lessThanOrEqual">
      <formula>0.5</formula>
    </cfRule>
    <cfRule type="cellIs" dxfId="17" priority="8" operator="greaterThan">
      <formula>1</formula>
    </cfRule>
    <cfRule type="cellIs" dxfId="16" priority="9" operator="between">
      <formula>0.56</formula>
      <formula>0.88</formula>
    </cfRule>
  </conditionalFormatting>
  <conditionalFormatting sqref="W13:W43">
    <cfRule type="cellIs" dxfId="15" priority="2" operator="equal">
      <formula>1</formula>
    </cfRule>
    <cfRule type="cellIs" dxfId="14" priority="3" operator="between">
      <formula>0.5</formula>
      <formula>0.88</formula>
    </cfRule>
    <cfRule type="cellIs" dxfId="13" priority="4" operator="lessThanOrEqual">
      <formula>0.5</formula>
    </cfRule>
    <cfRule type="cellIs" dxfId="12" priority="5" operator="greaterThan">
      <formula>1</formula>
    </cfRule>
  </conditionalFormatting>
  <conditionalFormatting sqref="Y13:Y43">
    <cfRule type="containsText" dxfId="11" priority="10" operator="containsText" text="1">
      <formula>NOT(ISERROR(SEARCH("1",Y13)))</formula>
    </cfRule>
    <cfRule type="containsText" dxfId="10" priority="11" operator="containsText" text="2">
      <formula>NOT(ISERROR(SEARCH("2",Y13)))</formula>
    </cfRule>
    <cfRule type="containsText" dxfId="9" priority="12" operator="containsText" text="3">
      <formula>NOT(ISERROR(SEARCH("3",Y13)))</formula>
    </cfRule>
  </conditionalFormatting>
  <conditionalFormatting sqref="AA13:AA43">
    <cfRule type="containsText" dxfId="8" priority="13" operator="containsText" text="E">
      <formula>NOT(ISERROR(SEARCH("E",AA13)))</formula>
    </cfRule>
    <cfRule type="containsText" dxfId="7" priority="14" operator="containsText" text="M">
      <formula>NOT(ISERROR(SEARCH("M",AA13)))</formula>
    </cfRule>
    <cfRule type="containsText" dxfId="6" priority="15" operator="containsText" text="F">
      <formula>NOT(ISERROR(SEARCH("F",AA13)))</formula>
    </cfRule>
  </conditionalFormatting>
  <pageMargins left="0.31496062992125984" right="0.31496062992125984" top="0.39370078740157483" bottom="0.39370078740157483" header="0.51181102362204722" footer="0.51181102362204722"/>
  <pageSetup paperSize="8" scale="53" fitToHeight="0" orientation="landscape"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2BC93-42DF-4216-9098-A85B191B27F8}">
  <sheetPr codeName="Feuil3"/>
  <dimension ref="A1:M156"/>
  <sheetViews>
    <sheetView showGridLines="0" view="pageBreakPreview" topLeftCell="A52" zoomScale="90" zoomScaleNormal="100" zoomScaleSheetLayoutView="90" workbookViewId="0">
      <selection activeCell="H31" sqref="H31:H32"/>
    </sheetView>
  </sheetViews>
  <sheetFormatPr baseColWidth="10" defaultRowHeight="14.4"/>
  <cols>
    <col min="1" max="3" width="11.5546875" style="30"/>
    <col min="4" max="4" width="11.44140625" style="30" customWidth="1"/>
    <col min="5" max="16384" width="11.5546875" style="30"/>
  </cols>
  <sheetData>
    <row r="1" spans="1:13" ht="15" thickBot="1"/>
    <row r="2" spans="1:13" ht="29.55" customHeight="1" thickBot="1">
      <c r="B2" s="31" t="s">
        <v>79</v>
      </c>
      <c r="C2" s="32"/>
      <c r="D2" s="32"/>
      <c r="E2" s="32"/>
      <c r="F2" s="32"/>
      <c r="G2" s="32"/>
      <c r="H2" s="32"/>
      <c r="I2" s="32"/>
      <c r="J2" s="32"/>
      <c r="K2" s="32"/>
      <c r="L2" s="33"/>
    </row>
    <row r="4" spans="1:13">
      <c r="A4" s="34" t="s">
        <v>80</v>
      </c>
      <c r="B4" s="35"/>
      <c r="C4" s="35"/>
      <c r="D4" s="35"/>
      <c r="E4" s="35"/>
      <c r="F4" s="35"/>
      <c r="G4" s="35"/>
      <c r="H4" s="35"/>
      <c r="I4" s="35"/>
      <c r="J4" s="35"/>
      <c r="K4" s="35"/>
      <c r="L4" s="35"/>
      <c r="M4" s="36"/>
    </row>
    <row r="6" spans="1:13">
      <c r="B6" s="37" t="s">
        <v>81</v>
      </c>
      <c r="C6" s="37"/>
      <c r="D6" s="37"/>
      <c r="E6" s="37"/>
      <c r="F6" s="37"/>
    </row>
    <row r="7" spans="1:13">
      <c r="B7" s="38" t="s">
        <v>20</v>
      </c>
      <c r="C7" s="39" t="s">
        <v>82</v>
      </c>
      <c r="D7" s="39"/>
      <c r="E7" s="39"/>
      <c r="F7" s="39"/>
    </row>
    <row r="8" spans="1:13">
      <c r="B8" s="38" t="s">
        <v>19</v>
      </c>
      <c r="C8" s="39" t="s">
        <v>83</v>
      </c>
      <c r="D8" s="39"/>
      <c r="E8" s="39"/>
      <c r="F8" s="39"/>
    </row>
    <row r="9" spans="1:13">
      <c r="B9" s="38" t="s">
        <v>21</v>
      </c>
      <c r="C9" s="39" t="s">
        <v>84</v>
      </c>
      <c r="D9" s="39"/>
      <c r="E9" s="39"/>
      <c r="F9" s="39"/>
    </row>
    <row r="10" spans="1:13">
      <c r="B10" s="38" t="s">
        <v>8</v>
      </c>
      <c r="C10" s="39" t="s">
        <v>85</v>
      </c>
      <c r="D10" s="39"/>
      <c r="E10" s="39"/>
      <c r="F10" s="39"/>
    </row>
    <row r="12" spans="1:13" ht="51" customHeight="1">
      <c r="B12" s="40" t="s">
        <v>86</v>
      </c>
      <c r="C12" s="40"/>
      <c r="D12" s="40"/>
      <c r="E12" s="40" t="s">
        <v>87</v>
      </c>
      <c r="F12" s="40"/>
      <c r="G12" s="40"/>
      <c r="H12" s="40" t="s">
        <v>88</v>
      </c>
      <c r="I12" s="40"/>
      <c r="J12" s="40"/>
      <c r="K12" s="41" t="s">
        <v>89</v>
      </c>
      <c r="L12" s="42"/>
    </row>
    <row r="13" spans="1:13" ht="109.95" customHeight="1">
      <c r="B13" s="43" t="s">
        <v>90</v>
      </c>
      <c r="C13" s="43"/>
      <c r="D13" s="43"/>
      <c r="E13" s="43" t="s">
        <v>91</v>
      </c>
      <c r="F13" s="43"/>
      <c r="G13" s="43"/>
      <c r="H13" s="43" t="s">
        <v>92</v>
      </c>
      <c r="I13" s="43"/>
      <c r="J13" s="43"/>
      <c r="K13" s="44">
        <v>1</v>
      </c>
      <c r="L13" s="45"/>
    </row>
    <row r="14" spans="1:13" ht="106.2" customHeight="1">
      <c r="B14" s="43" t="s">
        <v>93</v>
      </c>
      <c r="C14" s="43"/>
      <c r="D14" s="43"/>
      <c r="E14" s="43" t="s">
        <v>94</v>
      </c>
      <c r="F14" s="43"/>
      <c r="G14" s="43"/>
      <c r="H14" s="43" t="s">
        <v>95</v>
      </c>
      <c r="I14" s="43"/>
      <c r="J14" s="43"/>
      <c r="K14" s="44">
        <v>2</v>
      </c>
      <c r="L14" s="45"/>
    </row>
    <row r="15" spans="1:13" ht="136.94999999999999" customHeight="1">
      <c r="B15" s="43" t="s">
        <v>96</v>
      </c>
      <c r="C15" s="43"/>
      <c r="D15" s="43"/>
      <c r="E15" s="43" t="s">
        <v>97</v>
      </c>
      <c r="F15" s="43"/>
      <c r="G15" s="43"/>
      <c r="H15" s="43" t="s">
        <v>98</v>
      </c>
      <c r="I15" s="43"/>
      <c r="J15" s="43"/>
      <c r="K15" s="44">
        <v>3</v>
      </c>
      <c r="L15" s="45"/>
    </row>
    <row r="16" spans="1:13" ht="180" customHeight="1">
      <c r="B16" s="43" t="s">
        <v>99</v>
      </c>
      <c r="C16" s="43"/>
      <c r="D16" s="43"/>
      <c r="E16" s="43" t="s">
        <v>100</v>
      </c>
      <c r="F16" s="43"/>
      <c r="G16" s="43"/>
      <c r="H16" s="43" t="s">
        <v>101</v>
      </c>
      <c r="I16" s="43"/>
      <c r="J16" s="43"/>
      <c r="K16" s="44">
        <v>4</v>
      </c>
      <c r="L16" s="45"/>
    </row>
    <row r="17" spans="2:13" ht="62.55" customHeight="1">
      <c r="B17" s="46" t="s">
        <v>102</v>
      </c>
      <c r="C17" s="47"/>
      <c r="D17" s="47"/>
      <c r="E17" s="47" t="s">
        <v>103</v>
      </c>
      <c r="F17" s="47"/>
      <c r="G17" s="47"/>
      <c r="H17" s="48" t="s">
        <v>104</v>
      </c>
      <c r="I17" s="47"/>
      <c r="J17" s="47"/>
      <c r="K17" s="49" t="s">
        <v>105</v>
      </c>
      <c r="L17" s="50"/>
    </row>
    <row r="18" spans="2:13" ht="15" thickBot="1"/>
    <row r="19" spans="2:13" ht="15.6" thickTop="1" thickBot="1">
      <c r="B19" s="51" t="s">
        <v>106</v>
      </c>
      <c r="C19" s="52"/>
      <c r="D19" s="52"/>
      <c r="E19" s="52"/>
      <c r="F19" s="52"/>
      <c r="G19" s="52"/>
      <c r="H19" s="52"/>
      <c r="I19" s="52"/>
      <c r="J19" s="52"/>
      <c r="K19" s="52"/>
      <c r="L19" s="53"/>
    </row>
    <row r="20" spans="2:13" ht="15" thickTop="1"/>
    <row r="21" spans="2:13" ht="14.55" customHeight="1">
      <c r="D21" s="54" t="s">
        <v>107</v>
      </c>
      <c r="E21" s="55"/>
      <c r="F21" s="56" t="s">
        <v>108</v>
      </c>
      <c r="G21" s="57"/>
      <c r="H21" s="57"/>
      <c r="I21" s="58"/>
      <c r="J21" s="59"/>
      <c r="K21" s="59"/>
      <c r="L21" s="59"/>
      <c r="M21" s="59"/>
    </row>
    <row r="22" spans="2:13" ht="15" customHeight="1" thickBot="1">
      <c r="D22" s="60"/>
      <c r="E22" s="61"/>
      <c r="F22" s="62">
        <v>1</v>
      </c>
      <c r="G22" s="62">
        <v>2</v>
      </c>
      <c r="H22" s="62">
        <v>3</v>
      </c>
      <c r="I22" s="62">
        <v>4</v>
      </c>
      <c r="J22" s="63"/>
      <c r="K22" s="63"/>
      <c r="L22" s="63"/>
      <c r="M22" s="63"/>
    </row>
    <row r="23" spans="2:13" ht="15" customHeight="1" thickTop="1">
      <c r="D23" s="64" t="s">
        <v>109</v>
      </c>
      <c r="E23" s="65">
        <v>1</v>
      </c>
      <c r="F23" s="66">
        <v>1</v>
      </c>
      <c r="G23" s="67">
        <v>2</v>
      </c>
      <c r="H23" s="67">
        <v>3</v>
      </c>
      <c r="I23" s="68">
        <v>4</v>
      </c>
      <c r="J23" s="63"/>
      <c r="K23" s="63"/>
      <c r="L23" s="63"/>
      <c r="M23" s="63"/>
    </row>
    <row r="24" spans="2:13">
      <c r="D24" s="69"/>
      <c r="E24" s="65" t="s">
        <v>110</v>
      </c>
      <c r="F24" s="70">
        <v>2</v>
      </c>
      <c r="G24" s="71">
        <v>4</v>
      </c>
      <c r="H24" s="71">
        <v>6</v>
      </c>
      <c r="I24" s="72">
        <v>8</v>
      </c>
      <c r="J24" s="63"/>
      <c r="K24" s="63"/>
      <c r="L24" s="63"/>
      <c r="M24" s="63"/>
    </row>
    <row r="25" spans="2:13">
      <c r="D25" s="69"/>
      <c r="E25" s="65" t="s">
        <v>111</v>
      </c>
      <c r="F25" s="70">
        <v>3</v>
      </c>
      <c r="G25" s="71">
        <v>6</v>
      </c>
      <c r="H25" s="71">
        <v>9</v>
      </c>
      <c r="I25" s="72">
        <v>12</v>
      </c>
      <c r="J25" s="63"/>
      <c r="K25" s="63"/>
      <c r="L25" s="63"/>
      <c r="M25" s="63"/>
    </row>
    <row r="26" spans="2:13">
      <c r="D26" s="69"/>
      <c r="E26" s="65" t="s">
        <v>112</v>
      </c>
      <c r="F26" s="70">
        <v>4</v>
      </c>
      <c r="G26" s="71">
        <v>8</v>
      </c>
      <c r="H26" s="71">
        <v>12</v>
      </c>
      <c r="I26" s="72">
        <v>16</v>
      </c>
      <c r="J26" s="63"/>
      <c r="K26" s="63"/>
      <c r="L26" s="63"/>
      <c r="M26" s="63"/>
    </row>
    <row r="27" spans="2:13" ht="15" thickBot="1">
      <c r="D27" s="73"/>
      <c r="E27" s="65" t="s">
        <v>113</v>
      </c>
      <c r="F27" s="74">
        <v>5</v>
      </c>
      <c r="G27" s="75">
        <v>10</v>
      </c>
      <c r="H27" s="75">
        <v>15</v>
      </c>
      <c r="I27" s="76">
        <v>20</v>
      </c>
    </row>
    <row r="28" spans="2:13" ht="15" thickTop="1"/>
    <row r="29" spans="2:13" ht="15" customHeight="1">
      <c r="D29" s="54" t="s">
        <v>8</v>
      </c>
      <c r="E29" s="55"/>
      <c r="F29" s="56" t="s">
        <v>114</v>
      </c>
      <c r="G29" s="57"/>
      <c r="H29" s="57"/>
      <c r="I29" s="58"/>
      <c r="J29" s="59"/>
      <c r="K29" s="59"/>
      <c r="L29" s="59"/>
      <c r="M29" s="59"/>
    </row>
    <row r="30" spans="2:13" ht="15.75" customHeight="1" thickBot="1">
      <c r="D30" s="60"/>
      <c r="E30" s="61"/>
      <c r="F30" s="75">
        <v>1</v>
      </c>
      <c r="G30" s="75" t="s">
        <v>110</v>
      </c>
      <c r="H30" s="75" t="s">
        <v>111</v>
      </c>
      <c r="I30" s="75" t="s">
        <v>115</v>
      </c>
      <c r="J30" s="63"/>
      <c r="K30" s="63"/>
      <c r="L30" s="63"/>
      <c r="M30" s="63"/>
    </row>
    <row r="31" spans="2:13" ht="15" customHeight="1" thickTop="1">
      <c r="D31" s="64" t="s">
        <v>116</v>
      </c>
      <c r="E31" s="72">
        <v>1</v>
      </c>
      <c r="F31" s="218">
        <v>1</v>
      </c>
      <c r="G31" s="220">
        <v>2</v>
      </c>
      <c r="H31" s="220">
        <v>3</v>
      </c>
      <c r="I31" s="210">
        <v>4</v>
      </c>
      <c r="J31" s="63"/>
      <c r="K31" s="63"/>
      <c r="L31" s="63"/>
      <c r="M31" s="63"/>
    </row>
    <row r="32" spans="2:13">
      <c r="D32" s="69"/>
      <c r="E32" s="72">
        <v>2</v>
      </c>
      <c r="F32" s="219">
        <v>2</v>
      </c>
      <c r="G32" s="221">
        <v>4</v>
      </c>
      <c r="H32" s="221">
        <v>6</v>
      </c>
      <c r="I32" s="211">
        <v>8</v>
      </c>
      <c r="J32" s="63"/>
      <c r="K32" s="63"/>
      <c r="L32" s="63"/>
      <c r="M32" s="63"/>
    </row>
    <row r="33" spans="1:13">
      <c r="D33" s="69"/>
      <c r="E33" s="72">
        <v>3</v>
      </c>
      <c r="F33" s="219">
        <v>3</v>
      </c>
      <c r="G33" s="221">
        <v>6</v>
      </c>
      <c r="H33" s="217">
        <v>9</v>
      </c>
      <c r="I33" s="211">
        <v>12</v>
      </c>
      <c r="J33" s="63"/>
      <c r="K33" s="63"/>
      <c r="L33" s="63"/>
      <c r="M33" s="63"/>
    </row>
    <row r="34" spans="1:13">
      <c r="D34" s="69"/>
      <c r="E34" s="72">
        <v>4</v>
      </c>
      <c r="F34" s="219">
        <v>4</v>
      </c>
      <c r="G34" s="217">
        <v>8</v>
      </c>
      <c r="H34" s="217">
        <v>12</v>
      </c>
      <c r="I34" s="211">
        <v>16</v>
      </c>
      <c r="J34" s="63"/>
      <c r="K34" s="63"/>
      <c r="L34" s="63"/>
      <c r="M34" s="63"/>
    </row>
    <row r="35" spans="1:13">
      <c r="D35" s="69"/>
      <c r="E35" s="72">
        <v>5</v>
      </c>
      <c r="F35" s="219">
        <v>5</v>
      </c>
      <c r="G35" s="217">
        <v>10</v>
      </c>
      <c r="H35" s="217">
        <v>15</v>
      </c>
      <c r="I35" s="211">
        <v>20</v>
      </c>
      <c r="J35" s="63"/>
      <c r="K35" s="63"/>
      <c r="L35" s="63"/>
      <c r="M35" s="63"/>
    </row>
    <row r="36" spans="1:13">
      <c r="D36" s="69"/>
      <c r="E36" s="72">
        <v>6</v>
      </c>
      <c r="F36" s="219">
        <v>6</v>
      </c>
      <c r="G36" s="217">
        <v>12</v>
      </c>
      <c r="H36" s="217">
        <v>18</v>
      </c>
      <c r="I36" s="211">
        <v>24</v>
      </c>
      <c r="J36" s="63"/>
      <c r="K36" s="63"/>
      <c r="L36" s="63"/>
      <c r="M36" s="63"/>
    </row>
    <row r="37" spans="1:13">
      <c r="D37" s="69"/>
      <c r="E37" s="72">
        <v>8</v>
      </c>
      <c r="F37" s="215">
        <v>8</v>
      </c>
      <c r="G37" s="217">
        <v>16</v>
      </c>
      <c r="H37" s="213">
        <v>24</v>
      </c>
      <c r="I37" s="211">
        <v>32</v>
      </c>
      <c r="J37" s="63"/>
      <c r="K37" s="63"/>
      <c r="L37" s="63"/>
      <c r="M37" s="77" t="s">
        <v>49</v>
      </c>
    </row>
    <row r="38" spans="1:13">
      <c r="D38" s="69"/>
      <c r="E38" s="72">
        <v>9</v>
      </c>
      <c r="F38" s="215">
        <v>9</v>
      </c>
      <c r="G38" s="217">
        <v>18</v>
      </c>
      <c r="H38" s="213">
        <v>27</v>
      </c>
      <c r="I38" s="211">
        <v>36</v>
      </c>
      <c r="J38" s="63"/>
      <c r="K38" s="63"/>
      <c r="L38" s="63"/>
      <c r="M38" s="77">
        <v>1</v>
      </c>
    </row>
    <row r="39" spans="1:13">
      <c r="D39" s="69"/>
      <c r="E39" s="72">
        <v>10</v>
      </c>
      <c r="F39" s="215">
        <v>10</v>
      </c>
      <c r="G39" s="217">
        <v>20</v>
      </c>
      <c r="H39" s="213">
        <v>30</v>
      </c>
      <c r="I39" s="211">
        <v>40</v>
      </c>
      <c r="J39" s="63"/>
      <c r="K39" s="63"/>
      <c r="L39" s="63"/>
      <c r="M39" s="77">
        <v>2</v>
      </c>
    </row>
    <row r="40" spans="1:13">
      <c r="D40" s="69"/>
      <c r="E40" s="72">
        <v>12</v>
      </c>
      <c r="F40" s="215">
        <v>12</v>
      </c>
      <c r="G40" s="213">
        <v>24</v>
      </c>
      <c r="H40" s="213">
        <v>36</v>
      </c>
      <c r="I40" s="211">
        <v>48</v>
      </c>
      <c r="M40" s="78">
        <v>3</v>
      </c>
    </row>
    <row r="41" spans="1:13">
      <c r="D41" s="69"/>
      <c r="E41" s="72">
        <v>15</v>
      </c>
      <c r="F41" s="215">
        <v>15</v>
      </c>
      <c r="G41" s="213">
        <f>2*15</f>
        <v>30</v>
      </c>
      <c r="H41" s="213">
        <f>3*15</f>
        <v>45</v>
      </c>
      <c r="I41" s="211">
        <f>4*15</f>
        <v>60</v>
      </c>
      <c r="M41" s="77">
        <v>4</v>
      </c>
    </row>
    <row r="42" spans="1:13">
      <c r="D42" s="69"/>
      <c r="E42" s="72">
        <v>16</v>
      </c>
      <c r="F42" s="215">
        <v>16</v>
      </c>
      <c r="G42" s="213">
        <v>32</v>
      </c>
      <c r="H42" s="213">
        <v>48</v>
      </c>
      <c r="I42" s="211">
        <v>64</v>
      </c>
      <c r="M42" s="77">
        <v>5</v>
      </c>
    </row>
    <row r="43" spans="1:13" ht="15" thickBot="1">
      <c r="D43" s="73"/>
      <c r="E43" s="72">
        <v>20</v>
      </c>
      <c r="F43" s="216">
        <v>20</v>
      </c>
      <c r="G43" s="214">
        <v>40</v>
      </c>
      <c r="H43" s="214">
        <v>60</v>
      </c>
      <c r="I43" s="212">
        <v>80</v>
      </c>
    </row>
    <row r="44" spans="1:13" ht="15" thickTop="1"/>
    <row r="45" spans="1:13">
      <c r="A45" s="79" t="s">
        <v>117</v>
      </c>
      <c r="B45" s="80"/>
      <c r="C45" s="80"/>
      <c r="D45" s="80"/>
      <c r="E45" s="80"/>
      <c r="F45" s="80"/>
      <c r="G45" s="80"/>
      <c r="H45" s="80"/>
      <c r="I45" s="80"/>
      <c r="J45" s="80"/>
      <c r="K45" s="80"/>
      <c r="L45" s="80"/>
      <c r="M45" s="81"/>
    </row>
    <row r="47" spans="1:13">
      <c r="B47" s="82" t="s">
        <v>81</v>
      </c>
      <c r="C47" s="82"/>
      <c r="D47" s="82"/>
      <c r="E47" s="82"/>
      <c r="F47" s="82"/>
    </row>
    <row r="48" spans="1:13">
      <c r="B48" s="83" t="s">
        <v>28</v>
      </c>
      <c r="C48" s="84" t="s">
        <v>118</v>
      </c>
      <c r="D48" s="84"/>
      <c r="E48" s="84"/>
      <c r="F48" s="84"/>
    </row>
    <row r="49" spans="1:13">
      <c r="B49" s="85" t="s">
        <v>26</v>
      </c>
      <c r="C49" s="84" t="s">
        <v>119</v>
      </c>
      <c r="D49" s="84"/>
      <c r="E49" s="84"/>
      <c r="F49" s="84"/>
    </row>
    <row r="51" spans="1:13" ht="15.75" customHeight="1">
      <c r="B51" s="40" t="s">
        <v>120</v>
      </c>
      <c r="C51" s="40"/>
      <c r="D51" s="40"/>
      <c r="E51" s="40"/>
      <c r="F51" s="40" t="s">
        <v>121</v>
      </c>
      <c r="G51" s="40"/>
      <c r="H51" s="40"/>
      <c r="I51" s="40" t="s">
        <v>122</v>
      </c>
      <c r="J51" s="40"/>
      <c r="K51" s="40"/>
      <c r="L51" s="40" t="s">
        <v>89</v>
      </c>
      <c r="M51" s="86"/>
    </row>
    <row r="52" spans="1:13" ht="65.55" customHeight="1">
      <c r="B52" s="40" t="s">
        <v>123</v>
      </c>
      <c r="C52" s="40"/>
      <c r="D52" s="40" t="s">
        <v>124</v>
      </c>
      <c r="E52" s="40"/>
      <c r="F52" s="40"/>
      <c r="G52" s="40"/>
      <c r="H52" s="40"/>
      <c r="I52" s="40"/>
      <c r="J52" s="40"/>
      <c r="K52" s="40"/>
      <c r="L52" s="40"/>
      <c r="M52" s="86"/>
    </row>
    <row r="53" spans="1:13" ht="33.6" customHeight="1">
      <c r="B53" s="87" t="s">
        <v>125</v>
      </c>
      <c r="C53" s="87"/>
      <c r="D53" s="87" t="s">
        <v>125</v>
      </c>
      <c r="E53" s="87"/>
      <c r="F53" s="87" t="s">
        <v>125</v>
      </c>
      <c r="G53" s="87"/>
      <c r="H53" s="87"/>
      <c r="I53" s="87" t="s">
        <v>125</v>
      </c>
      <c r="J53" s="87"/>
      <c r="K53" s="87"/>
      <c r="L53" s="88">
        <v>0.5</v>
      </c>
      <c r="M53" s="89"/>
    </row>
    <row r="54" spans="1:13" ht="47.25" customHeight="1">
      <c r="B54" s="90" t="s">
        <v>126</v>
      </c>
      <c r="C54" s="90"/>
      <c r="D54" s="90" t="s">
        <v>126</v>
      </c>
      <c r="E54" s="90"/>
      <c r="F54" s="90" t="s">
        <v>126</v>
      </c>
      <c r="G54" s="90"/>
      <c r="H54" s="90"/>
      <c r="I54" s="90" t="s">
        <v>126</v>
      </c>
      <c r="J54" s="90"/>
      <c r="K54" s="90"/>
      <c r="L54" s="88">
        <v>0.75</v>
      </c>
      <c r="M54" s="89"/>
    </row>
    <row r="55" spans="1:13" ht="43.5" customHeight="1">
      <c r="B55" s="91" t="s">
        <v>127</v>
      </c>
      <c r="C55" s="91"/>
      <c r="D55" s="91" t="s">
        <v>127</v>
      </c>
      <c r="E55" s="91"/>
      <c r="F55" s="91" t="s">
        <v>127</v>
      </c>
      <c r="G55" s="91"/>
      <c r="H55" s="91"/>
      <c r="I55" s="91" t="s">
        <v>127</v>
      </c>
      <c r="J55" s="91"/>
      <c r="K55" s="91"/>
      <c r="L55" s="88">
        <v>1.75</v>
      </c>
      <c r="M55" s="89"/>
    </row>
    <row r="56" spans="1:13" ht="43.5" customHeight="1">
      <c r="B56" s="92" t="s">
        <v>128</v>
      </c>
      <c r="C56" s="92"/>
      <c r="D56" s="92" t="s">
        <v>129</v>
      </c>
      <c r="E56" s="92"/>
      <c r="F56" s="92" t="s">
        <v>129</v>
      </c>
      <c r="G56" s="92"/>
      <c r="H56" s="92"/>
      <c r="I56" s="92" t="s">
        <v>129</v>
      </c>
      <c r="J56" s="92"/>
      <c r="K56" s="92"/>
      <c r="L56" s="88">
        <v>1</v>
      </c>
      <c r="M56" s="89"/>
    </row>
    <row r="57" spans="1:13" ht="15" customHeight="1" thickBot="1">
      <c r="B57" s="93"/>
      <c r="C57" s="93"/>
      <c r="D57" s="93"/>
      <c r="E57" s="93"/>
      <c r="F57" s="93"/>
      <c r="G57" s="93"/>
      <c r="H57" s="93"/>
      <c r="I57" s="93"/>
      <c r="J57" s="93"/>
      <c r="K57" s="93"/>
      <c r="L57" s="94"/>
      <c r="M57" s="94"/>
    </row>
    <row r="58" spans="1:13" ht="33" customHeight="1" thickTop="1" thickBot="1">
      <c r="A58" s="95" t="s">
        <v>130</v>
      </c>
      <c r="B58" s="96"/>
      <c r="C58" s="96"/>
      <c r="D58" s="96"/>
      <c r="E58" s="96"/>
      <c r="F58" s="96"/>
      <c r="G58" s="96"/>
      <c r="H58" s="96"/>
      <c r="I58" s="96"/>
      <c r="J58" s="96"/>
      <c r="K58" s="96"/>
      <c r="L58" s="96"/>
      <c r="M58" s="97"/>
    </row>
    <row r="59" spans="1:13" ht="15" thickTop="1"/>
    <row r="60" spans="1:13">
      <c r="A60" s="98" t="s">
        <v>131</v>
      </c>
      <c r="B60" s="99"/>
      <c r="C60" s="99"/>
      <c r="D60" s="99"/>
      <c r="E60" s="99"/>
      <c r="F60" s="99"/>
      <c r="G60" s="99"/>
      <c r="H60" s="99"/>
      <c r="I60" s="99"/>
      <c r="J60" s="99"/>
      <c r="K60" s="99"/>
      <c r="L60" s="99"/>
      <c r="M60" s="100"/>
    </row>
    <row r="61" spans="1:13">
      <c r="B61" s="101"/>
      <c r="C61" s="101"/>
      <c r="D61" s="101"/>
      <c r="E61" s="101"/>
      <c r="F61" s="101"/>
      <c r="G61" s="101"/>
      <c r="H61" s="101"/>
      <c r="I61" s="101"/>
      <c r="J61" s="101"/>
      <c r="K61" s="101"/>
      <c r="L61" s="101"/>
    </row>
    <row r="62" spans="1:13">
      <c r="B62" s="82" t="s">
        <v>81</v>
      </c>
      <c r="C62" s="82"/>
      <c r="D62" s="82"/>
      <c r="E62" s="82"/>
      <c r="F62" s="82"/>
      <c r="G62" s="101"/>
      <c r="H62" s="101"/>
      <c r="I62" s="101"/>
      <c r="J62" s="101"/>
      <c r="K62" s="101"/>
      <c r="L62" s="101"/>
    </row>
    <row r="63" spans="1:13">
      <c r="B63" s="83" t="s">
        <v>132</v>
      </c>
      <c r="C63" s="84" t="s">
        <v>24</v>
      </c>
      <c r="D63" s="84"/>
      <c r="E63" s="84"/>
      <c r="F63" s="84"/>
      <c r="G63" s="101"/>
      <c r="H63" s="101"/>
      <c r="I63" s="101"/>
      <c r="J63" s="101"/>
      <c r="K63" s="101"/>
      <c r="L63" s="101"/>
    </row>
    <row r="64" spans="1:13">
      <c r="B64" s="101"/>
      <c r="C64" s="101"/>
      <c r="D64" s="101"/>
      <c r="E64" s="101"/>
      <c r="F64" s="101"/>
      <c r="G64" s="101"/>
      <c r="H64" s="101"/>
      <c r="I64" s="101"/>
      <c r="J64" s="101"/>
      <c r="K64" s="101"/>
      <c r="L64" s="101"/>
    </row>
    <row r="65" spans="1:13">
      <c r="A65" s="102" t="s">
        <v>133</v>
      </c>
      <c r="B65" s="102"/>
      <c r="C65" s="103" t="s">
        <v>134</v>
      </c>
      <c r="D65" s="104"/>
      <c r="E65" s="104"/>
      <c r="F65" s="105"/>
      <c r="G65" s="106"/>
      <c r="H65" s="102" t="s">
        <v>135</v>
      </c>
      <c r="I65" s="102"/>
      <c r="J65" s="103" t="s">
        <v>28</v>
      </c>
      <c r="K65" s="104"/>
      <c r="L65" s="104"/>
      <c r="M65" s="105"/>
    </row>
    <row r="66" spans="1:13" ht="14.55" customHeight="1">
      <c r="A66" s="102"/>
      <c r="B66" s="102"/>
      <c r="C66" s="107"/>
      <c r="D66" s="108"/>
      <c r="E66" s="108"/>
      <c r="F66" s="109"/>
      <c r="H66" s="102"/>
      <c r="I66" s="102"/>
      <c r="J66" s="107"/>
      <c r="K66" s="108"/>
      <c r="L66" s="108"/>
      <c r="M66" s="109"/>
    </row>
    <row r="67" spans="1:13" ht="15" customHeight="1" thickBot="1">
      <c r="A67" s="110"/>
      <c r="B67" s="110"/>
      <c r="C67" s="111">
        <v>0.5</v>
      </c>
      <c r="D67" s="112">
        <v>0.75</v>
      </c>
      <c r="E67" s="113">
        <v>1.75</v>
      </c>
      <c r="F67" s="114">
        <v>1</v>
      </c>
      <c r="H67" s="110"/>
      <c r="I67" s="110"/>
      <c r="J67" s="111">
        <v>0.5</v>
      </c>
      <c r="K67" s="112">
        <v>0.75</v>
      </c>
      <c r="L67" s="113">
        <v>1.75</v>
      </c>
      <c r="M67" s="114">
        <v>1</v>
      </c>
    </row>
    <row r="68" spans="1:13" ht="15" customHeight="1" thickTop="1">
      <c r="A68" s="115" t="s">
        <v>136</v>
      </c>
      <c r="B68" s="116">
        <v>0.5</v>
      </c>
      <c r="C68" s="117">
        <f>C67*B68</f>
        <v>0.25</v>
      </c>
      <c r="D68" s="118">
        <f>D67*B68</f>
        <v>0.375</v>
      </c>
      <c r="E68" s="119">
        <f>E67*B68</f>
        <v>0.875</v>
      </c>
      <c r="F68" s="120">
        <f>F67*B68</f>
        <v>0.5</v>
      </c>
      <c r="H68" s="115" t="s">
        <v>26</v>
      </c>
      <c r="I68" s="116">
        <v>0.5</v>
      </c>
      <c r="J68" s="117">
        <f>J67*I68</f>
        <v>0.25</v>
      </c>
      <c r="K68" s="118">
        <f>K67*I68</f>
        <v>0.375</v>
      </c>
      <c r="L68" s="118">
        <f>L67*I68</f>
        <v>0.875</v>
      </c>
      <c r="M68" s="120">
        <f>M67*I68</f>
        <v>0.5</v>
      </c>
    </row>
    <row r="69" spans="1:13">
      <c r="A69" s="121"/>
      <c r="B69" s="122">
        <v>0.75</v>
      </c>
      <c r="C69" s="123">
        <f>C67*B69</f>
        <v>0.375</v>
      </c>
      <c r="D69" s="124">
        <f>D67*B69</f>
        <v>0.5625</v>
      </c>
      <c r="E69" s="125">
        <f>E67*B69</f>
        <v>1.3125</v>
      </c>
      <c r="F69" s="126">
        <f>F67*B69</f>
        <v>0.75</v>
      </c>
      <c r="H69" s="121"/>
      <c r="I69" s="122">
        <v>0.75</v>
      </c>
      <c r="J69" s="123">
        <f>J67*I69</f>
        <v>0.375</v>
      </c>
      <c r="K69" s="124">
        <f>K67*I69</f>
        <v>0.5625</v>
      </c>
      <c r="L69" s="127">
        <f>L67*I69</f>
        <v>1.3125</v>
      </c>
      <c r="M69" s="128">
        <f>M67*I69</f>
        <v>0.75</v>
      </c>
    </row>
    <row r="70" spans="1:13">
      <c r="A70" s="121"/>
      <c r="B70" s="129">
        <v>1.75</v>
      </c>
      <c r="C70" s="130">
        <f>C67*B70</f>
        <v>0.875</v>
      </c>
      <c r="D70" s="125">
        <f>D67*B70</f>
        <v>1.3125</v>
      </c>
      <c r="E70" s="125">
        <f>E67*B70</f>
        <v>3.0625</v>
      </c>
      <c r="F70" s="126">
        <f>F67*B70</f>
        <v>1.75</v>
      </c>
      <c r="H70" s="121"/>
      <c r="I70" s="129">
        <v>1.75</v>
      </c>
      <c r="J70" s="131">
        <f>J67*I70</f>
        <v>0.875</v>
      </c>
      <c r="K70" s="127">
        <f>K67*I70</f>
        <v>1.3125</v>
      </c>
      <c r="L70" s="127">
        <f>L67*I70</f>
        <v>3.0625</v>
      </c>
      <c r="M70" s="132">
        <f>M67*I70</f>
        <v>1.75</v>
      </c>
    </row>
    <row r="71" spans="1:13" ht="15" thickBot="1">
      <c r="A71" s="133"/>
      <c r="B71" s="134">
        <v>1</v>
      </c>
      <c r="C71" s="135">
        <f>C67*B71</f>
        <v>0.5</v>
      </c>
      <c r="D71" s="136">
        <f>D67*B71</f>
        <v>0.75</v>
      </c>
      <c r="E71" s="136">
        <f>E67*B71</f>
        <v>1.75</v>
      </c>
      <c r="F71" s="137">
        <f>F67*B71</f>
        <v>1</v>
      </c>
      <c r="H71" s="133"/>
      <c r="I71" s="134">
        <v>1</v>
      </c>
      <c r="J71" s="135">
        <f>J67*I71</f>
        <v>0.5</v>
      </c>
      <c r="K71" s="138">
        <f>K67*I71</f>
        <v>0.75</v>
      </c>
      <c r="L71" s="139">
        <f>L67*I71</f>
        <v>1.75</v>
      </c>
      <c r="M71" s="137">
        <f>M67*I71</f>
        <v>1</v>
      </c>
    </row>
    <row r="72" spans="1:13" ht="15.6" thickTop="1" thickBot="1">
      <c r="A72" s="140"/>
      <c r="B72" s="141"/>
      <c r="C72" s="142"/>
      <c r="D72" s="143"/>
      <c r="E72" s="144"/>
      <c r="F72" s="145"/>
      <c r="H72" s="140"/>
      <c r="I72" s="146"/>
      <c r="J72" s="147"/>
      <c r="K72" s="148"/>
      <c r="L72" s="144"/>
      <c r="M72" s="63"/>
    </row>
    <row r="73" spans="1:13" ht="15.6" thickTop="1" thickBot="1">
      <c r="A73" s="149" t="s">
        <v>137</v>
      </c>
      <c r="B73" s="150"/>
      <c r="C73" s="150"/>
      <c r="D73" s="150"/>
      <c r="E73" s="150"/>
      <c r="F73" s="150"/>
      <c r="G73" s="150"/>
      <c r="H73" s="150"/>
      <c r="I73" s="150"/>
      <c r="J73" s="150"/>
      <c r="K73" s="150"/>
      <c r="L73" s="150"/>
      <c r="M73" s="151"/>
    </row>
    <row r="74" spans="1:13" ht="15" thickTop="1">
      <c r="A74" s="140"/>
      <c r="B74" s="152"/>
      <c r="C74" s="153"/>
      <c r="D74" s="63"/>
      <c r="E74" s="63"/>
      <c r="F74" s="63"/>
      <c r="G74" s="63"/>
      <c r="H74" s="63" t="s">
        <v>138</v>
      </c>
      <c r="I74" s="63"/>
      <c r="J74" s="63"/>
      <c r="K74" s="63"/>
      <c r="L74" s="63"/>
      <c r="M74" s="63"/>
    </row>
    <row r="75" spans="1:13" ht="15" customHeight="1">
      <c r="A75" s="140"/>
      <c r="B75" s="154" t="s">
        <v>139</v>
      </c>
      <c r="C75" s="154"/>
      <c r="D75" s="56" t="s">
        <v>120</v>
      </c>
      <c r="E75" s="57"/>
      <c r="F75" s="57"/>
      <c r="G75" s="57"/>
      <c r="H75" s="57"/>
      <c r="I75" s="57"/>
      <c r="J75" s="57"/>
      <c r="K75" s="57"/>
      <c r="L75" s="57"/>
      <c r="M75" s="58"/>
    </row>
    <row r="76" spans="1:13" ht="15" thickBot="1">
      <c r="A76" s="140"/>
      <c r="B76" s="155"/>
      <c r="C76" s="156"/>
      <c r="D76" s="157">
        <f>J68</f>
        <v>0.25</v>
      </c>
      <c r="E76" s="157">
        <f>K68</f>
        <v>0.375</v>
      </c>
      <c r="F76" s="157">
        <f>J71</f>
        <v>0.5</v>
      </c>
      <c r="G76" s="158">
        <f>K69</f>
        <v>0.5625</v>
      </c>
      <c r="H76" s="158">
        <f>K71</f>
        <v>0.75</v>
      </c>
      <c r="I76" s="158">
        <f>L68</f>
        <v>0.875</v>
      </c>
      <c r="J76" s="159">
        <f>M71</f>
        <v>1</v>
      </c>
      <c r="K76" s="160">
        <f>L69</f>
        <v>1.3125</v>
      </c>
      <c r="L76" s="160">
        <f>L71</f>
        <v>1.75</v>
      </c>
      <c r="M76" s="139">
        <f>L70</f>
        <v>3.0625</v>
      </c>
    </row>
    <row r="77" spans="1:13" ht="15.75" customHeight="1" thickTop="1">
      <c r="A77" s="140"/>
      <c r="B77" s="64" t="s">
        <v>132</v>
      </c>
      <c r="C77" s="161">
        <f>C68</f>
        <v>0.25</v>
      </c>
      <c r="D77" s="162">
        <f>($D$76+C77)/2</f>
        <v>0.25</v>
      </c>
      <c r="E77" s="163">
        <f>($E$76+C77)/2</f>
        <v>0.3125</v>
      </c>
      <c r="F77" s="163">
        <f>($F$76+C77)/2</f>
        <v>0.375</v>
      </c>
      <c r="G77" s="163">
        <f>($G$76+C77)/2</f>
        <v>0.40625</v>
      </c>
      <c r="H77" s="163">
        <f>($H$76+C77)/2</f>
        <v>0.5</v>
      </c>
      <c r="I77" s="163">
        <f>($I$76+C77)/2</f>
        <v>0.5625</v>
      </c>
      <c r="J77" s="163">
        <f>($J$76+C77)/2</f>
        <v>0.625</v>
      </c>
      <c r="K77" s="163">
        <f>($K$76+C77)/2</f>
        <v>0.78125</v>
      </c>
      <c r="L77" s="163">
        <f>($L$76+C77)/2</f>
        <v>1</v>
      </c>
      <c r="M77" s="164">
        <f>($M$76+C77)/2</f>
        <v>1.65625</v>
      </c>
    </row>
    <row r="78" spans="1:13">
      <c r="A78" s="140"/>
      <c r="B78" s="69"/>
      <c r="C78" s="161">
        <f>D68</f>
        <v>0.375</v>
      </c>
      <c r="D78" s="165">
        <f t="shared" ref="D78:D86" si="0">($D$76+C78)/2</f>
        <v>0.3125</v>
      </c>
      <c r="E78" s="166">
        <f t="shared" ref="E78:E86" si="1">($E$76+C78)/2</f>
        <v>0.375</v>
      </c>
      <c r="F78" s="166">
        <f t="shared" ref="F78:F86" si="2">($F$76+C78)/2</f>
        <v>0.4375</v>
      </c>
      <c r="G78" s="166">
        <f t="shared" ref="G78:G86" si="3">($G$76+C78)/2</f>
        <v>0.46875</v>
      </c>
      <c r="H78" s="166">
        <f t="shared" ref="H78:H86" si="4">($H$76+C78)/2</f>
        <v>0.5625</v>
      </c>
      <c r="I78" s="166">
        <f t="shared" ref="I78:I86" si="5">($I$76+C78)/2</f>
        <v>0.625</v>
      </c>
      <c r="J78" s="166">
        <f t="shared" ref="J78:J86" si="6">($J$76+C78)/2</f>
        <v>0.6875</v>
      </c>
      <c r="K78" s="166">
        <f t="shared" ref="K78:K85" si="7">($K$76+C78)/2</f>
        <v>0.84375</v>
      </c>
      <c r="L78" s="166">
        <f t="shared" ref="L78:L86" si="8">($L$76+C78)/2</f>
        <v>1.0625</v>
      </c>
      <c r="M78" s="167">
        <f t="shared" ref="M78:M86" si="9">($M$76+C78)/2</f>
        <v>1.71875</v>
      </c>
    </row>
    <row r="79" spans="1:13">
      <c r="A79" s="140"/>
      <c r="B79" s="69"/>
      <c r="C79" s="161">
        <f>C71</f>
        <v>0.5</v>
      </c>
      <c r="D79" s="165">
        <f t="shared" si="0"/>
        <v>0.375</v>
      </c>
      <c r="E79" s="166">
        <f t="shared" si="1"/>
        <v>0.4375</v>
      </c>
      <c r="F79" s="166">
        <f t="shared" si="2"/>
        <v>0.5</v>
      </c>
      <c r="G79" s="166">
        <f t="shared" si="3"/>
        <v>0.53125</v>
      </c>
      <c r="H79" s="166">
        <f t="shared" si="4"/>
        <v>0.625</v>
      </c>
      <c r="I79" s="166">
        <f t="shared" si="5"/>
        <v>0.6875</v>
      </c>
      <c r="J79" s="166">
        <f t="shared" si="6"/>
        <v>0.75</v>
      </c>
      <c r="K79" s="166">
        <f t="shared" si="7"/>
        <v>0.90625</v>
      </c>
      <c r="L79" s="166">
        <f t="shared" si="8"/>
        <v>1.125</v>
      </c>
      <c r="M79" s="167">
        <f t="shared" si="9"/>
        <v>1.78125</v>
      </c>
    </row>
    <row r="80" spans="1:13">
      <c r="A80" s="140"/>
      <c r="B80" s="69"/>
      <c r="C80" s="168">
        <f>D69</f>
        <v>0.5625</v>
      </c>
      <c r="D80" s="165">
        <f t="shared" si="0"/>
        <v>0.40625</v>
      </c>
      <c r="E80" s="166">
        <f t="shared" si="1"/>
        <v>0.46875</v>
      </c>
      <c r="F80" s="166">
        <f t="shared" si="2"/>
        <v>0.53125</v>
      </c>
      <c r="G80" s="166">
        <f t="shared" si="3"/>
        <v>0.5625</v>
      </c>
      <c r="H80" s="166">
        <f t="shared" si="4"/>
        <v>0.65625</v>
      </c>
      <c r="I80" s="166">
        <f t="shared" si="5"/>
        <v>0.71875</v>
      </c>
      <c r="J80" s="166">
        <f t="shared" si="6"/>
        <v>0.78125</v>
      </c>
      <c r="K80" s="166">
        <f t="shared" si="7"/>
        <v>0.9375</v>
      </c>
      <c r="L80" s="166">
        <f t="shared" si="8"/>
        <v>1.15625</v>
      </c>
      <c r="M80" s="167">
        <f t="shared" si="9"/>
        <v>1.8125</v>
      </c>
    </row>
    <row r="81" spans="1:13">
      <c r="A81" s="140"/>
      <c r="B81" s="69"/>
      <c r="C81" s="168">
        <f>F69</f>
        <v>0.75</v>
      </c>
      <c r="D81" s="165">
        <f t="shared" si="0"/>
        <v>0.5</v>
      </c>
      <c r="E81" s="166">
        <f t="shared" si="1"/>
        <v>0.5625</v>
      </c>
      <c r="F81" s="166">
        <f t="shared" si="2"/>
        <v>0.625</v>
      </c>
      <c r="G81" s="166">
        <f t="shared" si="3"/>
        <v>0.65625</v>
      </c>
      <c r="H81" s="166">
        <f t="shared" si="4"/>
        <v>0.75</v>
      </c>
      <c r="I81" s="166">
        <f t="shared" si="5"/>
        <v>0.8125</v>
      </c>
      <c r="J81" s="166">
        <f t="shared" si="6"/>
        <v>0.875</v>
      </c>
      <c r="K81" s="166">
        <f t="shared" si="7"/>
        <v>1.03125</v>
      </c>
      <c r="L81" s="166">
        <f t="shared" si="8"/>
        <v>1.25</v>
      </c>
      <c r="M81" s="167">
        <f t="shared" si="9"/>
        <v>1.90625</v>
      </c>
    </row>
    <row r="82" spans="1:13">
      <c r="A82" s="140"/>
      <c r="B82" s="69"/>
      <c r="C82" s="168">
        <f>E68</f>
        <v>0.875</v>
      </c>
      <c r="D82" s="165">
        <f t="shared" si="0"/>
        <v>0.5625</v>
      </c>
      <c r="E82" s="166">
        <f t="shared" si="1"/>
        <v>0.625</v>
      </c>
      <c r="F82" s="166">
        <f t="shared" si="2"/>
        <v>0.6875</v>
      </c>
      <c r="G82" s="166">
        <f t="shared" si="3"/>
        <v>0.71875</v>
      </c>
      <c r="H82" s="166">
        <f t="shared" si="4"/>
        <v>0.8125</v>
      </c>
      <c r="I82" s="166">
        <f t="shared" si="5"/>
        <v>0.875</v>
      </c>
      <c r="J82" s="166">
        <f t="shared" si="6"/>
        <v>0.9375</v>
      </c>
      <c r="K82" s="166">
        <f t="shared" si="7"/>
        <v>1.09375</v>
      </c>
      <c r="L82" s="166">
        <f t="shared" si="8"/>
        <v>1.3125</v>
      </c>
      <c r="M82" s="167">
        <f t="shared" si="9"/>
        <v>1.96875</v>
      </c>
    </row>
    <row r="83" spans="1:13">
      <c r="A83" s="140"/>
      <c r="B83" s="69"/>
      <c r="C83" s="169">
        <f>F71</f>
        <v>1</v>
      </c>
      <c r="D83" s="165">
        <f t="shared" si="0"/>
        <v>0.625</v>
      </c>
      <c r="E83" s="166">
        <f t="shared" si="1"/>
        <v>0.6875</v>
      </c>
      <c r="F83" s="166">
        <f t="shared" si="2"/>
        <v>0.75</v>
      </c>
      <c r="G83" s="166">
        <f t="shared" si="3"/>
        <v>0.78125</v>
      </c>
      <c r="H83" s="166">
        <f t="shared" si="4"/>
        <v>0.875</v>
      </c>
      <c r="I83" s="166">
        <f t="shared" si="5"/>
        <v>0.9375</v>
      </c>
      <c r="J83" s="166">
        <f t="shared" si="6"/>
        <v>1</v>
      </c>
      <c r="K83" s="166">
        <f t="shared" si="7"/>
        <v>1.15625</v>
      </c>
      <c r="L83" s="166">
        <f t="shared" si="8"/>
        <v>1.375</v>
      </c>
      <c r="M83" s="167">
        <f t="shared" si="9"/>
        <v>2.03125</v>
      </c>
    </row>
    <row r="84" spans="1:13">
      <c r="A84" s="140"/>
      <c r="B84" s="69"/>
      <c r="C84" s="170">
        <f>E69</f>
        <v>1.3125</v>
      </c>
      <c r="D84" s="165">
        <f t="shared" si="0"/>
        <v>0.78125</v>
      </c>
      <c r="E84" s="166">
        <f t="shared" si="1"/>
        <v>0.84375</v>
      </c>
      <c r="F84" s="166">
        <f t="shared" si="2"/>
        <v>0.90625</v>
      </c>
      <c r="G84" s="166">
        <f t="shared" si="3"/>
        <v>0.9375</v>
      </c>
      <c r="H84" s="166">
        <f t="shared" si="4"/>
        <v>1.03125</v>
      </c>
      <c r="I84" s="166">
        <f t="shared" si="5"/>
        <v>1.09375</v>
      </c>
      <c r="J84" s="166">
        <f t="shared" si="6"/>
        <v>1.15625</v>
      </c>
      <c r="K84" s="166">
        <f t="shared" si="7"/>
        <v>1.3125</v>
      </c>
      <c r="L84" s="166">
        <f t="shared" si="8"/>
        <v>1.53125</v>
      </c>
      <c r="M84" s="167">
        <f t="shared" si="9"/>
        <v>2.1875</v>
      </c>
    </row>
    <row r="85" spans="1:13">
      <c r="A85" s="140"/>
      <c r="B85" s="69"/>
      <c r="C85" s="171">
        <f>F70</f>
        <v>1.75</v>
      </c>
      <c r="D85" s="165">
        <f t="shared" si="0"/>
        <v>1</v>
      </c>
      <c r="E85" s="166">
        <f t="shared" si="1"/>
        <v>1.0625</v>
      </c>
      <c r="F85" s="166">
        <f t="shared" si="2"/>
        <v>1.125</v>
      </c>
      <c r="G85" s="166">
        <f t="shared" si="3"/>
        <v>1.15625</v>
      </c>
      <c r="H85" s="166">
        <f t="shared" si="4"/>
        <v>1.25</v>
      </c>
      <c r="I85" s="166">
        <f t="shared" si="5"/>
        <v>1.3125</v>
      </c>
      <c r="J85" s="166">
        <f t="shared" si="6"/>
        <v>1.375</v>
      </c>
      <c r="K85" s="166">
        <f t="shared" si="7"/>
        <v>1.53125</v>
      </c>
      <c r="L85" s="166">
        <f t="shared" si="8"/>
        <v>1.75</v>
      </c>
      <c r="M85" s="167">
        <f t="shared" si="9"/>
        <v>2.40625</v>
      </c>
    </row>
    <row r="86" spans="1:13" ht="15" thickBot="1">
      <c r="A86" s="140"/>
      <c r="B86" s="73"/>
      <c r="C86" s="171">
        <f>E70</f>
        <v>3.0625</v>
      </c>
      <c r="D86" s="172">
        <f t="shared" si="0"/>
        <v>1.65625</v>
      </c>
      <c r="E86" s="173">
        <f t="shared" si="1"/>
        <v>1.71875</v>
      </c>
      <c r="F86" s="173">
        <f t="shared" si="2"/>
        <v>1.78125</v>
      </c>
      <c r="G86" s="173">
        <f t="shared" si="3"/>
        <v>1.8125</v>
      </c>
      <c r="H86" s="173">
        <f t="shared" si="4"/>
        <v>1.90625</v>
      </c>
      <c r="I86" s="173">
        <f t="shared" si="5"/>
        <v>1.96875</v>
      </c>
      <c r="J86" s="173">
        <f t="shared" si="6"/>
        <v>2.03125</v>
      </c>
      <c r="K86" s="173">
        <f>($K$76+C86)/2</f>
        <v>2.1875</v>
      </c>
      <c r="L86" s="173">
        <f t="shared" si="8"/>
        <v>2.40625</v>
      </c>
      <c r="M86" s="174">
        <f t="shared" si="9"/>
        <v>3.0625</v>
      </c>
    </row>
    <row r="87" spans="1:13" ht="15.6" thickTop="1" thickBot="1">
      <c r="A87" s="140"/>
      <c r="B87" s="152"/>
      <c r="C87" s="141"/>
      <c r="D87" s="63"/>
      <c r="E87" s="63"/>
      <c r="F87" s="63"/>
      <c r="G87" s="63"/>
      <c r="H87" s="63"/>
      <c r="I87" s="63"/>
      <c r="J87" s="63"/>
      <c r="K87" s="63"/>
      <c r="L87" s="63"/>
      <c r="M87" s="63"/>
    </row>
    <row r="88" spans="1:13" ht="15" thickTop="1">
      <c r="A88" s="175" t="s">
        <v>140</v>
      </c>
      <c r="B88" s="176"/>
      <c r="C88" s="176"/>
      <c r="D88" s="176"/>
      <c r="E88" s="176"/>
      <c r="F88" s="176"/>
      <c r="G88" s="176"/>
      <c r="H88" s="176"/>
      <c r="I88" s="176"/>
      <c r="J88" s="176"/>
      <c r="K88" s="176"/>
      <c r="L88" s="176"/>
      <c r="M88" s="177"/>
    </row>
    <row r="89" spans="1:13" ht="15" thickBot="1">
      <c r="A89" s="178"/>
      <c r="B89" s="179"/>
      <c r="C89" s="179"/>
      <c r="D89" s="179"/>
      <c r="E89" s="179"/>
      <c r="F89" s="179"/>
      <c r="G89" s="179"/>
      <c r="H89" s="179"/>
      <c r="I89" s="179"/>
      <c r="J89" s="179"/>
      <c r="K89" s="179"/>
      <c r="L89" s="179"/>
      <c r="M89" s="180"/>
    </row>
    <row r="90" spans="1:13" ht="15" thickTop="1">
      <c r="A90" s="140"/>
      <c r="B90" s="181"/>
      <c r="C90" s="181"/>
      <c r="D90" s="181"/>
      <c r="E90" s="181"/>
      <c r="F90" s="181"/>
      <c r="G90" s="181"/>
      <c r="H90" s="181"/>
      <c r="I90" s="181"/>
      <c r="J90" s="181"/>
      <c r="K90" s="181"/>
      <c r="L90" s="181"/>
      <c r="M90" s="181"/>
    </row>
    <row r="91" spans="1:13">
      <c r="A91" s="140"/>
      <c r="B91" s="37" t="s">
        <v>141</v>
      </c>
      <c r="C91" s="37"/>
      <c r="D91" s="37" t="s">
        <v>139</v>
      </c>
      <c r="E91" s="37"/>
      <c r="F91" s="37"/>
      <c r="G91" s="181"/>
      <c r="H91" s="181"/>
      <c r="I91" s="181" t="s">
        <v>138</v>
      </c>
      <c r="J91" s="181"/>
      <c r="K91" s="181"/>
      <c r="L91" s="181"/>
      <c r="M91" s="181"/>
    </row>
    <row r="92" spans="1:13">
      <c r="A92" s="140"/>
      <c r="B92" s="37" t="s">
        <v>142</v>
      </c>
      <c r="C92" s="37"/>
      <c r="D92" s="182">
        <v>1</v>
      </c>
      <c r="E92" s="182"/>
      <c r="F92" s="182"/>
      <c r="G92" s="181"/>
      <c r="H92" s="181"/>
      <c r="I92" s="181"/>
      <c r="J92" s="181"/>
      <c r="K92" s="181"/>
      <c r="L92" s="181"/>
      <c r="M92" s="181"/>
    </row>
    <row r="93" spans="1:13">
      <c r="A93" s="140"/>
      <c r="B93" s="37" t="s">
        <v>143</v>
      </c>
      <c r="C93" s="37"/>
      <c r="D93" s="183">
        <v>2</v>
      </c>
      <c r="E93" s="183"/>
      <c r="F93" s="183"/>
      <c r="G93" s="181"/>
      <c r="H93" s="181"/>
      <c r="I93" s="181"/>
      <c r="J93" s="181"/>
      <c r="K93" s="181"/>
      <c r="L93" s="181"/>
      <c r="M93" s="181"/>
    </row>
    <row r="94" spans="1:13">
      <c r="A94" s="140"/>
      <c r="B94" s="37" t="s">
        <v>144</v>
      </c>
      <c r="C94" s="37"/>
      <c r="D94" s="184">
        <v>3</v>
      </c>
      <c r="E94" s="184"/>
      <c r="F94" s="184"/>
      <c r="G94" s="181"/>
      <c r="H94" s="181"/>
      <c r="I94" s="181"/>
      <c r="J94" s="181"/>
      <c r="K94" s="181"/>
      <c r="L94" s="181"/>
      <c r="M94" s="181"/>
    </row>
    <row r="95" spans="1:13">
      <c r="A95" s="140"/>
      <c r="B95" s="181"/>
      <c r="C95" s="181"/>
      <c r="D95" s="181"/>
      <c r="E95" s="181"/>
      <c r="F95" s="181"/>
      <c r="G95" s="181"/>
      <c r="H95" s="181"/>
      <c r="I95" s="181"/>
      <c r="J95" s="181"/>
      <c r="K95" s="181"/>
      <c r="L95" s="181"/>
      <c r="M95" s="181"/>
    </row>
    <row r="96" spans="1:13">
      <c r="A96" s="185" t="s">
        <v>145</v>
      </c>
      <c r="B96" s="186"/>
      <c r="C96" s="186"/>
      <c r="D96" s="186"/>
      <c r="E96" s="186"/>
      <c r="F96" s="186"/>
      <c r="G96" s="186"/>
      <c r="H96" s="186"/>
      <c r="I96" s="186"/>
      <c r="J96" s="186"/>
      <c r="K96" s="186"/>
      <c r="L96" s="186"/>
      <c r="M96" s="187"/>
    </row>
    <row r="98" spans="2:12">
      <c r="B98" s="37" t="s">
        <v>81</v>
      </c>
      <c r="C98" s="37"/>
      <c r="D98" s="37"/>
      <c r="E98" s="37"/>
    </row>
    <row r="99" spans="2:12">
      <c r="B99" s="38" t="s">
        <v>146</v>
      </c>
      <c r="C99" s="39" t="s">
        <v>147</v>
      </c>
      <c r="D99" s="39"/>
      <c r="E99" s="39"/>
    </row>
    <row r="100" spans="2:12">
      <c r="B100" s="38" t="s">
        <v>148</v>
      </c>
      <c r="C100" s="39" t="s">
        <v>149</v>
      </c>
      <c r="D100" s="39"/>
      <c r="E100" s="39"/>
    </row>
    <row r="101" spans="2:12">
      <c r="B101" s="38" t="s">
        <v>150</v>
      </c>
      <c r="C101" s="188" t="s">
        <v>151</v>
      </c>
      <c r="D101" s="189"/>
      <c r="E101" s="190"/>
    </row>
    <row r="102" spans="2:12">
      <c r="B102" s="38" t="s">
        <v>13</v>
      </c>
      <c r="C102" s="188" t="s">
        <v>152</v>
      </c>
      <c r="D102" s="189"/>
      <c r="E102" s="190"/>
    </row>
    <row r="103" spans="2:12">
      <c r="B103" s="101"/>
      <c r="C103" s="191"/>
      <c r="D103" s="191"/>
      <c r="E103" s="191"/>
    </row>
    <row r="104" spans="2:12" ht="17.399999999999999">
      <c r="B104" s="192" t="s">
        <v>153</v>
      </c>
      <c r="H104" s="192" t="s">
        <v>154</v>
      </c>
      <c r="I104" s="192"/>
    </row>
    <row r="105" spans="2:12" ht="17.399999999999999">
      <c r="B105" s="192"/>
      <c r="H105" s="192"/>
      <c r="I105" s="192"/>
    </row>
    <row r="106" spans="2:12">
      <c r="B106" s="154" t="s">
        <v>155</v>
      </c>
      <c r="C106" s="193"/>
      <c r="D106" s="56" t="s">
        <v>156</v>
      </c>
      <c r="E106" s="57"/>
      <c r="F106" s="58"/>
      <c r="H106" s="154" t="s">
        <v>155</v>
      </c>
      <c r="I106" s="193"/>
      <c r="J106" s="194" t="s">
        <v>156</v>
      </c>
      <c r="K106" s="194"/>
      <c r="L106" s="194"/>
    </row>
    <row r="107" spans="2:12">
      <c r="B107" s="155"/>
      <c r="C107" s="156"/>
      <c r="D107" s="195">
        <v>1</v>
      </c>
      <c r="E107" s="196">
        <v>2</v>
      </c>
      <c r="F107" s="197">
        <v>3</v>
      </c>
      <c r="H107" s="155"/>
      <c r="I107" s="156"/>
      <c r="J107" s="195">
        <v>1</v>
      </c>
      <c r="K107" s="196">
        <v>2</v>
      </c>
      <c r="L107" s="197">
        <v>3</v>
      </c>
    </row>
    <row r="108" spans="2:12" ht="15" customHeight="1">
      <c r="B108" s="198" t="s">
        <v>85</v>
      </c>
      <c r="C108" s="199">
        <v>1</v>
      </c>
      <c r="D108" s="208" t="s">
        <v>19</v>
      </c>
      <c r="E108" s="208" t="s">
        <v>19</v>
      </c>
      <c r="F108" s="208" t="s">
        <v>19</v>
      </c>
      <c r="H108" s="198" t="s">
        <v>85</v>
      </c>
      <c r="I108" s="200">
        <v>4</v>
      </c>
      <c r="J108" s="209" t="s">
        <v>19</v>
      </c>
      <c r="K108" s="207" t="s">
        <v>148</v>
      </c>
      <c r="L108" s="206" t="s">
        <v>150</v>
      </c>
    </row>
    <row r="109" spans="2:12">
      <c r="B109" s="198"/>
      <c r="C109" s="199">
        <v>2</v>
      </c>
      <c r="D109" s="208" t="s">
        <v>19</v>
      </c>
      <c r="E109" s="208" t="s">
        <v>19</v>
      </c>
      <c r="F109" s="208" t="s">
        <v>19</v>
      </c>
      <c r="H109" s="198"/>
      <c r="I109" s="201">
        <v>5</v>
      </c>
      <c r="J109" s="209" t="s">
        <v>19</v>
      </c>
      <c r="K109" s="207" t="s">
        <v>148</v>
      </c>
      <c r="L109" s="206" t="s">
        <v>150</v>
      </c>
    </row>
    <row r="110" spans="2:12">
      <c r="B110" s="198"/>
      <c r="C110" s="199">
        <v>3</v>
      </c>
      <c r="D110" s="208" t="s">
        <v>19</v>
      </c>
      <c r="E110" s="208" t="s">
        <v>19</v>
      </c>
      <c r="F110" s="208" t="s">
        <v>19</v>
      </c>
      <c r="H110" s="198"/>
      <c r="I110" s="200">
        <v>8</v>
      </c>
      <c r="J110" s="209" t="s">
        <v>19</v>
      </c>
      <c r="K110" s="207" t="s">
        <v>148</v>
      </c>
      <c r="L110" s="206" t="s">
        <v>150</v>
      </c>
    </row>
    <row r="111" spans="2:12">
      <c r="B111" s="198"/>
      <c r="C111" s="199">
        <v>4</v>
      </c>
      <c r="D111" s="208" t="s">
        <v>19</v>
      </c>
      <c r="E111" s="208" t="s">
        <v>19</v>
      </c>
      <c r="F111" s="208" t="s">
        <v>19</v>
      </c>
      <c r="H111" s="198"/>
      <c r="I111" s="202">
        <v>10</v>
      </c>
      <c r="J111" s="209" t="s">
        <v>19</v>
      </c>
      <c r="K111" s="207" t="s">
        <v>148</v>
      </c>
      <c r="L111" s="206" t="s">
        <v>150</v>
      </c>
    </row>
    <row r="112" spans="2:12">
      <c r="B112" s="198"/>
      <c r="C112" s="199">
        <v>6</v>
      </c>
      <c r="D112" s="208" t="s">
        <v>19</v>
      </c>
      <c r="E112" s="208" t="s">
        <v>19</v>
      </c>
      <c r="F112" s="208" t="s">
        <v>19</v>
      </c>
      <c r="H112" s="198"/>
      <c r="I112" s="200">
        <v>12</v>
      </c>
      <c r="J112" s="209" t="s">
        <v>19</v>
      </c>
      <c r="K112" s="207" t="s">
        <v>148</v>
      </c>
      <c r="L112" s="206" t="s">
        <v>150</v>
      </c>
    </row>
    <row r="113" spans="2:12">
      <c r="B113" s="198"/>
      <c r="C113" s="203">
        <v>8</v>
      </c>
      <c r="D113" s="208" t="s">
        <v>19</v>
      </c>
      <c r="E113" s="207" t="s">
        <v>148</v>
      </c>
      <c r="F113" s="207" t="s">
        <v>148</v>
      </c>
      <c r="H113" s="198"/>
      <c r="I113" s="202">
        <v>15</v>
      </c>
      <c r="J113" s="209" t="s">
        <v>19</v>
      </c>
      <c r="K113" s="207" t="s">
        <v>148</v>
      </c>
      <c r="L113" s="206" t="s">
        <v>150</v>
      </c>
    </row>
    <row r="114" spans="2:12">
      <c r="B114" s="198"/>
      <c r="C114" s="203">
        <v>9</v>
      </c>
      <c r="D114" s="208" t="s">
        <v>19</v>
      </c>
      <c r="E114" s="207" t="s">
        <v>148</v>
      </c>
      <c r="F114" s="207" t="s">
        <v>148</v>
      </c>
      <c r="H114" s="198"/>
      <c r="I114" s="200">
        <v>16</v>
      </c>
      <c r="J114" s="209" t="s">
        <v>19</v>
      </c>
      <c r="K114" s="207" t="s">
        <v>148</v>
      </c>
      <c r="L114" s="206" t="s">
        <v>150</v>
      </c>
    </row>
    <row r="115" spans="2:12">
      <c r="B115" s="198"/>
      <c r="C115" s="203">
        <v>12</v>
      </c>
      <c r="D115" s="208" t="s">
        <v>19</v>
      </c>
      <c r="E115" s="207" t="s">
        <v>148</v>
      </c>
      <c r="F115" s="207" t="s">
        <v>148</v>
      </c>
      <c r="H115" s="198"/>
      <c r="I115" s="202">
        <v>20</v>
      </c>
      <c r="J115" s="209" t="s">
        <v>19</v>
      </c>
      <c r="K115" s="207" t="s">
        <v>148</v>
      </c>
      <c r="L115" s="206" t="s">
        <v>150</v>
      </c>
    </row>
    <row r="116" spans="2:12">
      <c r="B116" s="198"/>
      <c r="C116" s="203">
        <v>16</v>
      </c>
      <c r="D116" s="208" t="s">
        <v>19</v>
      </c>
      <c r="E116" s="207" t="s">
        <v>148</v>
      </c>
      <c r="F116" s="207" t="s">
        <v>148</v>
      </c>
      <c r="H116" s="198"/>
      <c r="I116" s="200">
        <v>24</v>
      </c>
      <c r="J116" s="209" t="s">
        <v>19</v>
      </c>
      <c r="K116" s="207" t="s">
        <v>148</v>
      </c>
      <c r="L116" s="206" t="s">
        <v>150</v>
      </c>
    </row>
    <row r="117" spans="2:12">
      <c r="B117" s="198"/>
      <c r="C117" s="203">
        <v>18</v>
      </c>
      <c r="D117" s="208" t="s">
        <v>19</v>
      </c>
      <c r="E117" s="207" t="s">
        <v>148</v>
      </c>
      <c r="F117" s="207" t="s">
        <v>148</v>
      </c>
      <c r="H117" s="198"/>
      <c r="I117" s="202">
        <v>25</v>
      </c>
      <c r="J117" s="209" t="s">
        <v>19</v>
      </c>
      <c r="K117" s="207" t="s">
        <v>148</v>
      </c>
      <c r="L117" s="206" t="s">
        <v>150</v>
      </c>
    </row>
    <row r="118" spans="2:12">
      <c r="B118" s="198"/>
      <c r="C118" s="204">
        <v>24</v>
      </c>
      <c r="D118" s="208" t="s">
        <v>19</v>
      </c>
      <c r="E118" s="207" t="s">
        <v>148</v>
      </c>
      <c r="F118" s="206" t="s">
        <v>150</v>
      </c>
      <c r="H118" s="198"/>
      <c r="I118" s="202">
        <v>30</v>
      </c>
      <c r="J118" s="209" t="s">
        <v>19</v>
      </c>
      <c r="K118" s="207" t="s">
        <v>148</v>
      </c>
      <c r="L118" s="206" t="s">
        <v>150</v>
      </c>
    </row>
    <row r="119" spans="2:12">
      <c r="B119" s="198"/>
      <c r="C119" s="204">
        <v>27</v>
      </c>
      <c r="D119" s="208" t="s">
        <v>19</v>
      </c>
      <c r="E119" s="207" t="s">
        <v>148</v>
      </c>
      <c r="F119" s="206" t="s">
        <v>150</v>
      </c>
      <c r="H119" s="198"/>
      <c r="I119" s="200">
        <v>32</v>
      </c>
      <c r="J119" s="209" t="s">
        <v>19</v>
      </c>
      <c r="K119" s="207" t="s">
        <v>148</v>
      </c>
      <c r="L119" s="206" t="s">
        <v>150</v>
      </c>
    </row>
    <row r="120" spans="2:12">
      <c r="B120" s="198"/>
      <c r="C120" s="204">
        <v>32</v>
      </c>
      <c r="D120" s="208" t="s">
        <v>19</v>
      </c>
      <c r="E120" s="207" t="s">
        <v>148</v>
      </c>
      <c r="F120" s="206" t="s">
        <v>150</v>
      </c>
      <c r="H120" s="198"/>
      <c r="I120" s="200">
        <v>36</v>
      </c>
      <c r="J120" s="209" t="s">
        <v>19</v>
      </c>
      <c r="K120" s="207" t="s">
        <v>148</v>
      </c>
      <c r="L120" s="206" t="s">
        <v>150</v>
      </c>
    </row>
    <row r="121" spans="2:12" ht="15" customHeight="1">
      <c r="B121" s="198"/>
      <c r="C121" s="204">
        <v>36</v>
      </c>
      <c r="D121" s="208" t="s">
        <v>19</v>
      </c>
      <c r="E121" s="207" t="s">
        <v>148</v>
      </c>
      <c r="F121" s="206" t="s">
        <v>150</v>
      </c>
      <c r="H121" s="198"/>
      <c r="I121" s="202">
        <v>40</v>
      </c>
      <c r="J121" s="209" t="s">
        <v>19</v>
      </c>
      <c r="K121" s="207" t="s">
        <v>148</v>
      </c>
      <c r="L121" s="206" t="s">
        <v>150</v>
      </c>
    </row>
    <row r="122" spans="2:12">
      <c r="B122" s="198"/>
      <c r="C122" s="204">
        <v>48</v>
      </c>
      <c r="D122" s="208" t="s">
        <v>19</v>
      </c>
      <c r="E122" s="207" t="s">
        <v>148</v>
      </c>
      <c r="F122" s="206" t="s">
        <v>150</v>
      </c>
      <c r="H122" s="198"/>
      <c r="I122" s="202">
        <v>45</v>
      </c>
      <c r="J122" s="209" t="s">
        <v>19</v>
      </c>
      <c r="K122" s="207" t="s">
        <v>148</v>
      </c>
      <c r="L122" s="206" t="s">
        <v>150</v>
      </c>
    </row>
    <row r="123" spans="2:12">
      <c r="H123" s="198"/>
      <c r="I123" s="200">
        <v>48</v>
      </c>
      <c r="J123" s="209" t="s">
        <v>19</v>
      </c>
      <c r="K123" s="207" t="s">
        <v>148</v>
      </c>
      <c r="L123" s="206" t="s">
        <v>150</v>
      </c>
    </row>
    <row r="124" spans="2:12">
      <c r="H124" s="198"/>
      <c r="I124" s="202">
        <v>50</v>
      </c>
      <c r="J124" s="209" t="s">
        <v>19</v>
      </c>
      <c r="K124" s="207" t="s">
        <v>148</v>
      </c>
      <c r="L124" s="206" t="s">
        <v>150</v>
      </c>
    </row>
    <row r="125" spans="2:12">
      <c r="H125" s="198"/>
      <c r="I125" s="202">
        <v>60</v>
      </c>
      <c r="J125" s="209" t="s">
        <v>19</v>
      </c>
      <c r="K125" s="207" t="s">
        <v>148</v>
      </c>
      <c r="L125" s="206" t="s">
        <v>150</v>
      </c>
    </row>
    <row r="126" spans="2:12">
      <c r="H126" s="198"/>
      <c r="I126" s="200">
        <v>64</v>
      </c>
      <c r="J126" s="209" t="s">
        <v>19</v>
      </c>
      <c r="K126" s="207" t="s">
        <v>148</v>
      </c>
      <c r="L126" s="206" t="s">
        <v>150</v>
      </c>
    </row>
    <row r="127" spans="2:12">
      <c r="H127" s="198"/>
      <c r="I127" s="202">
        <v>75</v>
      </c>
      <c r="J127" s="209" t="s">
        <v>19</v>
      </c>
      <c r="K127" s="207" t="s">
        <v>148</v>
      </c>
      <c r="L127" s="206" t="s">
        <v>150</v>
      </c>
    </row>
    <row r="128" spans="2:12">
      <c r="H128" s="198"/>
      <c r="I128" s="202">
        <v>80</v>
      </c>
      <c r="J128" s="209" t="s">
        <v>19</v>
      </c>
      <c r="K128" s="207" t="s">
        <v>148</v>
      </c>
      <c r="L128" s="206" t="s">
        <v>150</v>
      </c>
    </row>
    <row r="129" spans="8:12">
      <c r="H129" s="198"/>
      <c r="I129" s="202">
        <v>100</v>
      </c>
      <c r="J129" s="209" t="s">
        <v>19</v>
      </c>
      <c r="K129" s="207" t="s">
        <v>148</v>
      </c>
      <c r="L129" s="206" t="s">
        <v>150</v>
      </c>
    </row>
    <row r="151" spans="1:1">
      <c r="A151" s="205"/>
    </row>
    <row r="152" spans="1:1">
      <c r="A152" s="205"/>
    </row>
    <row r="153" spans="1:1">
      <c r="A153" s="205"/>
    </row>
    <row r="154" spans="1:1">
      <c r="A154" s="205"/>
    </row>
    <row r="155" spans="1:1">
      <c r="A155" s="205"/>
    </row>
    <row r="156" spans="1:1">
      <c r="A156" s="205"/>
    </row>
  </sheetData>
  <mergeCells count="101">
    <mergeCell ref="B108:B122"/>
    <mergeCell ref="H108:H129"/>
    <mergeCell ref="C101:E101"/>
    <mergeCell ref="C102:E102"/>
    <mergeCell ref="B106:C107"/>
    <mergeCell ref="D106:F106"/>
    <mergeCell ref="H106:I107"/>
    <mergeCell ref="J106:L106"/>
    <mergeCell ref="B94:C94"/>
    <mergeCell ref="D94:F94"/>
    <mergeCell ref="A96:M96"/>
    <mergeCell ref="B98:E98"/>
    <mergeCell ref="C99:E99"/>
    <mergeCell ref="C100:E100"/>
    <mergeCell ref="A88:M89"/>
    <mergeCell ref="B91:C91"/>
    <mergeCell ref="D91:F91"/>
    <mergeCell ref="B92:C92"/>
    <mergeCell ref="D92:F92"/>
    <mergeCell ref="B93:C93"/>
    <mergeCell ref="D93:F93"/>
    <mergeCell ref="A68:A71"/>
    <mergeCell ref="H68:H71"/>
    <mergeCell ref="A73:M73"/>
    <mergeCell ref="B75:C76"/>
    <mergeCell ref="D75:M75"/>
    <mergeCell ref="B77:B86"/>
    <mergeCell ref="A58:M58"/>
    <mergeCell ref="A60:M60"/>
    <mergeCell ref="B62:F62"/>
    <mergeCell ref="C63:F63"/>
    <mergeCell ref="A65:B67"/>
    <mergeCell ref="C65:F66"/>
    <mergeCell ref="H65:I67"/>
    <mergeCell ref="J65:M66"/>
    <mergeCell ref="B55:C55"/>
    <mergeCell ref="D55:E55"/>
    <mergeCell ref="F55:H55"/>
    <mergeCell ref="I55:K55"/>
    <mergeCell ref="B56:C56"/>
    <mergeCell ref="D56:E56"/>
    <mergeCell ref="F56:H56"/>
    <mergeCell ref="I56:K56"/>
    <mergeCell ref="D52:E52"/>
    <mergeCell ref="B53:C53"/>
    <mergeCell ref="D53:E53"/>
    <mergeCell ref="F53:H53"/>
    <mergeCell ref="I53:K53"/>
    <mergeCell ref="B54:C54"/>
    <mergeCell ref="D54:E54"/>
    <mergeCell ref="F54:H54"/>
    <mergeCell ref="I54:K54"/>
    <mergeCell ref="D31:D43"/>
    <mergeCell ref="A45:M45"/>
    <mergeCell ref="B47:F47"/>
    <mergeCell ref="C48:F48"/>
    <mergeCell ref="C49:F49"/>
    <mergeCell ref="B51:E51"/>
    <mergeCell ref="F51:H52"/>
    <mergeCell ref="I51:K52"/>
    <mergeCell ref="L51:L52"/>
    <mergeCell ref="B52:C52"/>
    <mergeCell ref="B19:L19"/>
    <mergeCell ref="D21:E22"/>
    <mergeCell ref="F21:I21"/>
    <mergeCell ref="J21:M21"/>
    <mergeCell ref="D23:D27"/>
    <mergeCell ref="D29:E30"/>
    <mergeCell ref="F29:I29"/>
    <mergeCell ref="J29:M29"/>
    <mergeCell ref="B16:D16"/>
    <mergeCell ref="E16:G16"/>
    <mergeCell ref="H16:J16"/>
    <mergeCell ref="K16:L16"/>
    <mergeCell ref="B17:D17"/>
    <mergeCell ref="E17:G17"/>
    <mergeCell ref="H17:J17"/>
    <mergeCell ref="K17:L17"/>
    <mergeCell ref="B14:D14"/>
    <mergeCell ref="E14:G14"/>
    <mergeCell ref="H14:J14"/>
    <mergeCell ref="K14:L14"/>
    <mergeCell ref="B15:D15"/>
    <mergeCell ref="E15:G15"/>
    <mergeCell ref="H15:J15"/>
    <mergeCell ref="K15:L15"/>
    <mergeCell ref="C10:F10"/>
    <mergeCell ref="B12:D12"/>
    <mergeCell ref="E12:G12"/>
    <mergeCell ref="H12:J12"/>
    <mergeCell ref="K12:L12"/>
    <mergeCell ref="B13:D13"/>
    <mergeCell ref="E13:G13"/>
    <mergeCell ref="H13:J13"/>
    <mergeCell ref="K13:L13"/>
    <mergeCell ref="B2:L2"/>
    <mergeCell ref="A4:M4"/>
    <mergeCell ref="B6:F6"/>
    <mergeCell ref="C7:F7"/>
    <mergeCell ref="C8:F8"/>
    <mergeCell ref="C9:F9"/>
  </mergeCells>
  <conditionalFormatting sqref="C68:F70 C71:E71">
    <cfRule type="cellIs" dxfId="5" priority="5" operator="greaterThanOrEqual">
      <formula>1</formula>
    </cfRule>
    <cfRule type="cellIs" dxfId="4" priority="6" operator="between">
      <formula>0.56</formula>
      <formula>0.88</formula>
    </cfRule>
    <cfRule type="cellIs" dxfId="3" priority="7" operator="lessThanOrEqual">
      <formula>0.5</formula>
    </cfRule>
  </conditionalFormatting>
  <conditionalFormatting sqref="J68:M70 J71:L71">
    <cfRule type="cellIs" dxfId="2" priority="2" operator="lessThanOrEqual">
      <formula>0.5</formula>
    </cfRule>
    <cfRule type="cellIs" dxfId="1" priority="3" operator="greaterThanOrEqual">
      <formula>1</formula>
    </cfRule>
    <cfRule type="cellIs" dxfId="0" priority="4" operator="between">
      <formula>0.56</formula>
      <formula>0.88</formula>
    </cfRule>
  </conditionalFormatting>
  <pageMargins left="0.7" right="0.7" top="0.75" bottom="0.75" header="0.3" footer="0.3"/>
  <pageSetup paperSize="9" scale="58" orientation="portrait" r:id="rId1"/>
  <rowBreaks count="2" manualBreakCount="2">
    <brk id="44" max="12" man="1"/>
    <brk id="95" max="12" man="1"/>
  </rowBreaks>
  <extLst>
    <ext xmlns:x14="http://schemas.microsoft.com/office/spreadsheetml/2009/9/main" uri="{78C0D931-6437-407d-A8EE-F0AAD7539E65}">
      <x14:conditionalFormattings>
        <x14:conditionalFormatting xmlns:xm="http://schemas.microsoft.com/office/excel/2006/main">
          <x14:cfRule type="iconSet" priority="8" id="{4E8C8FDF-73B4-455B-8709-853F66DCC616}">
            <x14:iconSet custom="1">
              <x14:cfvo type="percent">
                <xm:f>0</xm:f>
              </x14:cfvo>
              <x14:cfvo type="num">
                <xm:f>2</xm:f>
              </x14:cfvo>
              <x14:cfvo type="num">
                <xm:f>3</xm:f>
              </x14:cfvo>
              <x14:cfIcon iconSet="3TrafficLights1" iconId="2"/>
              <x14:cfIcon iconSet="3TrafficLights1" iconId="1"/>
              <x14:cfIcon iconSet="3TrafficLights1" iconId="0"/>
            </x14:iconSet>
          </x14:cfRule>
          <xm:sqref>D92:F94</xm:sqref>
        </x14:conditionalFormatting>
        <x14:conditionalFormatting xmlns:xm="http://schemas.microsoft.com/office/excel/2006/main">
          <x14:cfRule type="iconSet" priority="9" id="{C9D6C471-95D9-44C1-B24D-B8951377C6FA}">
            <x14:iconSet custom="1">
              <x14:cfvo type="percent">
                <xm:f>0</xm:f>
              </x14:cfvo>
              <x14:cfvo type="num">
                <xm:f>0.5</xm:f>
              </x14:cfvo>
              <x14:cfvo type="num">
                <xm:f>0.75</xm:f>
              </x14:cfvo>
              <x14:cfIcon iconSet="3TrafficLights1" iconId="2"/>
              <x14:cfIcon iconSet="3TrafficLights1" iconId="1"/>
              <x14:cfIcon iconSet="3TrafficLights1" iconId="0"/>
            </x14:iconSet>
          </x14:cfRule>
          <xm:sqref>D87:M87 D74:M74</xm:sqref>
        </x14:conditionalFormatting>
        <x14:conditionalFormatting xmlns:xm="http://schemas.microsoft.com/office/excel/2006/main">
          <x14:cfRule type="iconSet" priority="1" id="{9FB0D58D-4B31-4EE4-BBF1-DFB83E2E9233}">
            <x14:iconSet custom="1">
              <x14:cfvo type="percent">
                <xm:f>0</xm:f>
              </x14:cfvo>
              <x14:cfvo type="num" gte="0">
                <xm:f>0.5</xm:f>
              </x14:cfvo>
              <x14:cfvo type="num" gte="0">
                <xm:f>0.75</xm:f>
              </x14:cfvo>
              <x14:cfIcon iconSet="3TrafficLights1" iconId="2"/>
              <x14:cfIcon iconSet="3TrafficLights1" iconId="1"/>
              <x14:cfIcon iconSet="3TrafficLights1" iconId="0"/>
            </x14:iconSet>
          </x14:cfRule>
          <xm:sqref>D73:L73</xm:sqref>
        </x14:conditionalFormatting>
        <x14:conditionalFormatting xmlns:xm="http://schemas.microsoft.com/office/excel/2006/main">
          <x14:cfRule type="iconSet" priority="10" id="{302EFDA8-187C-4A3E-B14E-072214D39A65}">
            <x14:iconSet custom="1">
              <x14:cfvo type="percent">
                <xm:f>0</xm:f>
              </x14:cfvo>
              <x14:cfvo type="num" gte="0">
                <xm:f>0.5</xm:f>
              </x14:cfvo>
              <x14:cfvo type="num" gte="0">
                <xm:f>0.75</xm:f>
              </x14:cfvo>
              <x14:cfIcon iconSet="3TrafficLights1" iconId="2"/>
              <x14:cfIcon iconSet="3TrafficLights1" iconId="1"/>
              <x14:cfIcon iconSet="3TrafficLights1" iconId="0"/>
            </x14:iconSet>
          </x14:cfRule>
          <xm:sqref>D77:M86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3</vt:i4>
      </vt:variant>
    </vt:vector>
  </HeadingPairs>
  <TitlesOfParts>
    <vt:vector size="5" baseType="lpstr">
      <vt:lpstr>Feuil1</vt:lpstr>
      <vt:lpstr>Cotation</vt:lpstr>
      <vt:lpstr>Feuil1!Impression_des_titres</vt:lpstr>
      <vt:lpstr>Cotation!Zone_d_impression</vt:lpstr>
      <vt:lpstr>Feuil1!Zone_d_impression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dc:creator>
  <dc:description/>
  <cp:lastModifiedBy>jean Peyrucq</cp:lastModifiedBy>
  <cp:revision>0</cp:revision>
  <dcterms:created xsi:type="dcterms:W3CDTF">2015-06-05T18:19:34Z</dcterms:created>
  <dcterms:modified xsi:type="dcterms:W3CDTF">2026-07-27T17:22:09Z</dcterms:modified>
  <dc:language>en-US</dc:language>
</cp:coreProperties>
</file>