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isk-control\"/>
    </mc:Choice>
  </mc:AlternateContent>
  <xr:revisionPtr revIDLastSave="0" documentId="13_ncr:1_{BA86CF3E-C530-4270-8150-BB0C383601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uil1" sheetId="1" r:id="rId1"/>
  </sheets>
  <definedNames>
    <definedName name="_xlnm.Print_Titles" localSheetId="0">Feuil1!$1:$12</definedName>
    <definedName name="_xlnm.Print_Area" localSheetId="0">Feuil1!$A$1:$AA$44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43" i="1" l="1"/>
  <c r="Y43" i="1"/>
  <c r="W43" i="1"/>
  <c r="R43" i="1"/>
  <c r="M43" i="1"/>
  <c r="Z43" i="1" s="1"/>
  <c r="AA42" i="1"/>
  <c r="Z42" i="1"/>
  <c r="Y42" i="1"/>
  <c r="W42" i="1"/>
  <c r="R42" i="1"/>
  <c r="M42" i="1"/>
  <c r="AA41" i="1"/>
  <c r="Y41" i="1"/>
  <c r="W41" i="1"/>
  <c r="R41" i="1"/>
  <c r="M41" i="1"/>
  <c r="Z41" i="1" s="1"/>
  <c r="Y40" i="1"/>
  <c r="W40" i="1"/>
  <c r="R40" i="1"/>
  <c r="M40" i="1"/>
  <c r="Z40" i="1" s="1"/>
  <c r="AA39" i="1"/>
  <c r="Z39" i="1"/>
  <c r="Y39" i="1"/>
  <c r="W39" i="1"/>
  <c r="R39" i="1"/>
  <c r="M39" i="1"/>
  <c r="AA38" i="1"/>
  <c r="Y38" i="1"/>
  <c r="W38" i="1"/>
  <c r="R38" i="1"/>
  <c r="M38" i="1"/>
  <c r="Z38" i="1" s="1"/>
  <c r="AA37" i="1"/>
  <c r="Y37" i="1"/>
  <c r="W37" i="1"/>
  <c r="R37" i="1"/>
  <c r="M37" i="1"/>
  <c r="Z37" i="1" s="1"/>
  <c r="AA36" i="1"/>
  <c r="Z36" i="1"/>
  <c r="Y36" i="1"/>
  <c r="W36" i="1"/>
  <c r="R36" i="1"/>
  <c r="M36" i="1"/>
  <c r="AA35" i="1"/>
  <c r="Z35" i="1"/>
  <c r="Y35" i="1"/>
  <c r="W35" i="1"/>
  <c r="R35" i="1"/>
  <c r="M35" i="1"/>
  <c r="AA34" i="1"/>
  <c r="Y34" i="1"/>
  <c r="W34" i="1"/>
  <c r="R34" i="1"/>
  <c r="M34" i="1"/>
  <c r="Z34" i="1" s="1"/>
  <c r="Y33" i="1"/>
  <c r="W33" i="1"/>
  <c r="R33" i="1"/>
  <c r="M33" i="1"/>
  <c r="Z33" i="1" s="1"/>
  <c r="AA32" i="1"/>
  <c r="Y32" i="1"/>
  <c r="W32" i="1"/>
  <c r="R32" i="1"/>
  <c r="M32" i="1"/>
  <c r="Z32" i="1" s="1"/>
  <c r="AA31" i="1"/>
  <c r="Y31" i="1"/>
  <c r="W31" i="1"/>
  <c r="R31" i="1"/>
  <c r="M31" i="1"/>
  <c r="Z31" i="1" s="1"/>
  <c r="AA30" i="1"/>
  <c r="Y30" i="1"/>
  <c r="W30" i="1"/>
  <c r="R30" i="1"/>
  <c r="M30" i="1"/>
  <c r="Z30" i="1" s="1"/>
  <c r="AA29" i="1"/>
  <c r="Y29" i="1"/>
  <c r="W29" i="1"/>
  <c r="R29" i="1"/>
  <c r="M29" i="1"/>
  <c r="Z29" i="1" s="1"/>
  <c r="AA28" i="1"/>
  <c r="Y28" i="1"/>
  <c r="W28" i="1"/>
  <c r="R28" i="1"/>
  <c r="M28" i="1"/>
  <c r="Z28" i="1" s="1"/>
  <c r="AA27" i="1"/>
  <c r="Z27" i="1"/>
  <c r="Y27" i="1"/>
  <c r="W27" i="1"/>
  <c r="R27" i="1"/>
  <c r="M27" i="1"/>
  <c r="AA26" i="1"/>
  <c r="Y26" i="1"/>
  <c r="W26" i="1"/>
  <c r="R26" i="1"/>
  <c r="M26" i="1"/>
  <c r="Z26" i="1" s="1"/>
  <c r="AA25" i="1"/>
  <c r="Y25" i="1"/>
  <c r="W25" i="1"/>
  <c r="R25" i="1"/>
  <c r="M25" i="1"/>
  <c r="Z25" i="1" s="1"/>
  <c r="AA24" i="1"/>
  <c r="Z24" i="1"/>
  <c r="Y24" i="1"/>
  <c r="W24" i="1"/>
  <c r="R24" i="1"/>
  <c r="M24" i="1"/>
  <c r="AA23" i="1"/>
  <c r="Z23" i="1"/>
  <c r="Y23" i="1"/>
  <c r="W23" i="1"/>
  <c r="R23" i="1"/>
  <c r="M23" i="1"/>
  <c r="AA22" i="1"/>
  <c r="Y22" i="1"/>
  <c r="W22" i="1"/>
  <c r="R22" i="1"/>
  <c r="M22" i="1"/>
  <c r="Z22" i="1" s="1"/>
  <c r="AA21" i="1"/>
  <c r="Y21" i="1"/>
  <c r="W21" i="1"/>
  <c r="R21" i="1"/>
  <c r="M21" i="1"/>
  <c r="Z21" i="1" s="1"/>
  <c r="AA20" i="1"/>
  <c r="Y20" i="1"/>
  <c r="W20" i="1"/>
  <c r="R20" i="1"/>
  <c r="M20" i="1"/>
  <c r="Z20" i="1" s="1"/>
  <c r="AA19" i="1"/>
  <c r="Y19" i="1"/>
  <c r="W19" i="1"/>
  <c r="R19" i="1"/>
  <c r="M19" i="1"/>
  <c r="Z19" i="1" s="1"/>
  <c r="AA18" i="1"/>
  <c r="Y18" i="1"/>
  <c r="W18" i="1"/>
  <c r="R18" i="1"/>
  <c r="M18" i="1"/>
  <c r="Z18" i="1" s="1"/>
  <c r="AA17" i="1"/>
  <c r="Y17" i="1"/>
  <c r="W17" i="1"/>
  <c r="R17" i="1"/>
  <c r="M17" i="1"/>
  <c r="Z17" i="1" s="1"/>
  <c r="AA16" i="1"/>
  <c r="Y16" i="1"/>
  <c r="W16" i="1"/>
  <c r="R16" i="1"/>
  <c r="M16" i="1"/>
  <c r="Z16" i="1" s="1"/>
  <c r="AA15" i="1"/>
  <c r="Y15" i="1"/>
  <c r="W15" i="1"/>
  <c r="R15" i="1"/>
  <c r="M15" i="1"/>
  <c r="Z15" i="1" s="1"/>
  <c r="Y14" i="1"/>
  <c r="W14" i="1"/>
  <c r="R14" i="1"/>
  <c r="M14" i="1"/>
  <c r="Z14" i="1" s="1"/>
  <c r="Y13" i="1"/>
  <c r="W13" i="1"/>
  <c r="R13" i="1"/>
  <c r="M13" i="1"/>
  <c r="Z13" i="1" s="1"/>
</calcChain>
</file>

<file path=xl/sharedStrings.xml><?xml version="1.0" encoding="utf-8"?>
<sst xmlns="http://schemas.openxmlformats.org/spreadsheetml/2006/main" count="228" uniqueCount="79">
  <si>
    <t>Analyse pour établir un mode opératoire sécurité de l'intervention</t>
  </si>
  <si>
    <t>Intervention:</t>
  </si>
  <si>
    <t>Recherche de panne sur un équipement sous tension</t>
  </si>
  <si>
    <t>Dangers identifiés</t>
  </si>
  <si>
    <t>Famille de risques</t>
  </si>
  <si>
    <t>Risques associés à ces dangers et Nature des lésions probables
Facteurs aggravants potentiels</t>
  </si>
  <si>
    <t>Partie(s) du corps concernée(s)</t>
  </si>
  <si>
    <t>Cotation du risque potentiel</t>
  </si>
  <si>
    <t>Rp</t>
  </si>
  <si>
    <t>Moyens de maîtrise et leur cotation</t>
  </si>
  <si>
    <t>Cotation globale des moyens de maîtrise</t>
  </si>
  <si>
    <t>Niveau de maîtrise</t>
  </si>
  <si>
    <t>Cotation Rr</t>
  </si>
  <si>
    <t>Rr</t>
  </si>
  <si>
    <t>Tête (Crâne, Ouïe, Yeux, Nez, Mâchoire, Visage, Tête entière…)</t>
  </si>
  <si>
    <t>Membres supérieurs et/ou inférieurs (Mains, Bras, Jambres, Pieds…)</t>
  </si>
  <si>
    <t>Divers (Peau, Tronc, Abdomen, Dos, Localisations multiples, Corps entier…)</t>
  </si>
  <si>
    <t>Voies de pénétration (respiratoire, parentale…)</t>
  </si>
  <si>
    <t>Autres (préciser)</t>
  </si>
  <si>
    <t>F</t>
  </si>
  <si>
    <t>P</t>
  </si>
  <si>
    <t>G</t>
  </si>
  <si>
    <t>Mesures Techniques</t>
  </si>
  <si>
    <t>Cotation MT</t>
  </si>
  <si>
    <t>Facteurs Organisationnels et Humains</t>
  </si>
  <si>
    <t>Cotation FOH</t>
  </si>
  <si>
    <t>EPI</t>
  </si>
  <si>
    <t>Cotation EPI</t>
  </si>
  <si>
    <t>EPC</t>
  </si>
  <si>
    <t>Cotation EPC</t>
  </si>
  <si>
    <t>Mesures Organisationnelles</t>
  </si>
  <si>
    <t>Cotation MO</t>
  </si>
  <si>
    <t>Mesures Humaines</t>
  </si>
  <si>
    <t>Cotation MH</t>
  </si>
  <si>
    <t>Analyse liée à l'activité</t>
  </si>
  <si>
    <t>Equipement alimenté en électricité</t>
  </si>
  <si>
    <t>ELECTRIQUE</t>
  </si>
  <si>
    <t>Electrisation, électrocution car équipement alimenté, lors de la recherche de panne avec voltmètre</t>
  </si>
  <si>
    <t>Vérification et port des EPI :
- Gants isolants de type 00
- Casque avec visière
- Vêtements couvrant (avant-bras et jambes)</t>
  </si>
  <si>
    <t>Utilisation d'équipements adaptés à la tension et isolés</t>
  </si>
  <si>
    <t>Intervention d'ordre electrique à deux minimum
Permis spécifique de travail au voisinage de pièces nues sous tension
Une fois la recherche de panne réalisée sur l'équipement, celui-ci doit être CONSIGNE à partir de l'armoire (avec cadenas)</t>
  </si>
  <si>
    <t xml:space="preserve">Habilitation électrique de type BR </t>
  </si>
  <si>
    <t>Armoires alimentés en électricité</t>
  </si>
  <si>
    <t>Risque faible voir nul d'Electrisation, électrocution liées à l'intensité électrique circulant dans les armoires : armoires IP2X
Recherche panne avec voltmètre ou pince ohmétrique</t>
  </si>
  <si>
    <t>Non nécessaire</t>
  </si>
  <si>
    <t>Isolation des parties actives de l'appareil de test (pointe de touche isolée)</t>
  </si>
  <si>
    <t>Affichage réglementaire sur les armoires, fermées à clés. 
A l'ouverture de l'armoire, vérifier la présence de la protection IP2X. En cas d'anomalie constatée, porter les EPI et remonter l'anomalie.</t>
  </si>
  <si>
    <t>sans</t>
  </si>
  <si>
    <t>MECANIQUE</t>
  </si>
  <si>
    <t>Choisir</t>
  </si>
  <si>
    <t>CHUTE DE HAUTEUR</t>
  </si>
  <si>
    <t>MANUTENTION / ERGONOMIE</t>
  </si>
  <si>
    <t>Traité dans la partie environnement</t>
  </si>
  <si>
    <t>INCENDIE / EXPLOSION</t>
  </si>
  <si>
    <t>BRUIT / VIBRATIONS</t>
  </si>
  <si>
    <t>RAYONNEMENTS IONISANTS / NON IONISANTS</t>
  </si>
  <si>
    <t>BIOLOGIQUE</t>
  </si>
  <si>
    <t>CHIMIQUE</t>
  </si>
  <si>
    <t>CHUTE D'OBJETS</t>
  </si>
  <si>
    <t>ANOXIE</t>
  </si>
  <si>
    <t>CHUTE DE PLAIN PIED</t>
  </si>
  <si>
    <t>FLUIDES / SURPRESSION</t>
  </si>
  <si>
    <t xml:space="preserve"> dépannage à deux obligatoire</t>
  </si>
  <si>
    <t>TRAVAIL ISOLE</t>
  </si>
  <si>
    <t>Risque nul : le travail isolé est interdit</t>
  </si>
  <si>
    <t>AMBIANCE THERMIQUE / SURFACES CHAUDES OU FROIDES</t>
  </si>
  <si>
    <t>Analyse liée à l'environnement de travail</t>
  </si>
  <si>
    <t>traité dans la partie activité</t>
  </si>
  <si>
    <t>Armoires et équipement alimentés en électricité</t>
  </si>
  <si>
    <t>Déclenchement d'un incendie lié à la présence d'électricité dans l'armoire et l'équipement</t>
  </si>
  <si>
    <t>Détection incendie
Disjoncteur
Présence d'extincteur CO2 à proximité de l'intervention</t>
  </si>
  <si>
    <t>Repérer les équipements d'urgence à proximité (BAU, boitiers bris de glaces, extincteurs CO2…)
Ne pas stocker d'outils/équipements devant les extincteurs</t>
  </si>
  <si>
    <t>Intervenants sensibilisés au risque incendie lié à l'électricité et aux conduites à tenir en cas d'alarme feu</t>
  </si>
  <si>
    <t>Locaux techniques</t>
  </si>
  <si>
    <t xml:space="preserve">Risque de chute de plain-pied lors des déplacements en zone technique </t>
  </si>
  <si>
    <t>Chaussures de sécurité, casquettes de sécurité</t>
  </si>
  <si>
    <t>Tenir la rampe dans les escaliers
Regarder devant soi en marchant
Rester vigilant aux marches et sols glissants
Ranger le matériel hors des zones de passage et à la fin de chaque intervention</t>
  </si>
  <si>
    <t>Intervenants et collaborateurs sensibilisés aux risques de chute de plain pied</t>
  </si>
  <si>
    <t>Colonnes X et AA (cotation globale des moyens de maîtrise / Rr) : valeurs figées à l'identique de l'export d'origine — la table de cotation référencée (classeur externe) n'est pas jointe à ce fichier.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</si>
</sst>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sz val="16"/>
      <color rgb="FFFFFFFF"/>
      <name val="Futura MdCn BT"/>
      <family val="2"/>
      <charset val="1"/>
    </font>
    <font>
      <b/>
      <sz val="11"/>
      <color rgb="FF006A4D"/>
      <name val="Calibri"/>
      <family val="2"/>
    </font>
    <font>
      <b/>
      <sz val="11"/>
      <color rgb="FF1A1A1A"/>
      <name val="Calibri"/>
      <family val="2"/>
    </font>
    <font>
      <b/>
      <sz val="10"/>
      <color rgb="FFFFFFFF"/>
      <name val="Calibri"/>
      <family val="2"/>
    </font>
    <font>
      <b/>
      <sz val="9"/>
      <color rgb="FF006A4D"/>
      <name val="Calibri"/>
      <family val="2"/>
    </font>
    <font>
      <b/>
      <sz val="11"/>
      <color theme="1"/>
      <name val="Calibri"/>
      <family val="2"/>
      <charset val="1"/>
    </font>
    <font>
      <b/>
      <sz val="11"/>
      <color rgb="FF00B050"/>
      <name val="Calibri"/>
      <family val="2"/>
      <charset val="1"/>
    </font>
    <font>
      <sz val="11"/>
      <name val="Calibri"/>
      <family val="2"/>
      <charset val="1"/>
    </font>
    <font>
      <i/>
      <sz val="8"/>
      <color rgb="FF7A7A7A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6A4D"/>
        <bgColor rgb="FF008080"/>
      </patternFill>
    </fill>
    <fill>
      <patternFill patternType="solid">
        <fgColor rgb="FFBFE3D4"/>
        <bgColor rgb="FFBDD7EE"/>
      </patternFill>
    </fill>
    <fill>
      <patternFill patternType="solid">
        <fgColor rgb="FFFFFFFF"/>
        <bgColor rgb="FFFFFFCC"/>
      </patternFill>
    </fill>
    <fill>
      <patternFill patternType="solid">
        <fgColor rgb="FFDCEEE6"/>
        <bgColor rgb="FFE2F0D9"/>
      </patternFill>
    </fill>
    <fill>
      <patternFill patternType="solid">
        <fgColor theme="8" tint="0.39988402966399123"/>
        <bgColor rgb="FF9DC3E6"/>
      </patternFill>
    </fill>
    <fill>
      <patternFill patternType="solid">
        <fgColor rgb="FFFFFFCC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DAFFCD"/>
        <bgColor rgb="FFC9FFE1"/>
      </patternFill>
    </fill>
    <fill>
      <patternFill patternType="solid">
        <fgColor theme="4" tint="0.59987182226020086"/>
        <bgColor rgb="FFBFE3D4"/>
      </patternFill>
    </fill>
    <fill>
      <patternFill patternType="solid">
        <fgColor theme="4" tint="0.39988402966399123"/>
        <bgColor rgb="FF8FAADC"/>
      </patternFill>
    </fill>
    <fill>
      <patternFill patternType="solid">
        <fgColor theme="4" tint="0.79989013336588644"/>
        <bgColor rgb="FFDCEEE6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7" tint="0.39988402966399123"/>
        <bgColor rgb="FFFFCC00"/>
      </patternFill>
    </fill>
    <fill>
      <patternFill patternType="solid">
        <fgColor rgb="FFFFCC00"/>
        <bgColor rgb="FFFFD9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14" borderId="1" xfId="0" applyFont="1" applyFill="1" applyBorder="1" applyAlignment="1">
      <alignment horizontal="center" vertical="center" textRotation="90"/>
    </xf>
    <xf numFmtId="0" fontId="6" fillId="6" borderId="1" xfId="0" applyFont="1" applyFill="1" applyBorder="1" applyAlignment="1">
      <alignment horizontal="center" vertical="center" textRotation="90"/>
    </xf>
    <xf numFmtId="0" fontId="5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15">
    <dxf>
      <font>
        <color rgb="FFFFFFFF"/>
      </font>
      <fill>
        <patternFill>
          <bgColor rgb="FF00FF00"/>
        </patternFill>
      </fill>
    </dxf>
    <dxf>
      <fill>
        <patternFill>
          <bgColor rgb="FFFFCC00"/>
        </patternFill>
      </fill>
    </dxf>
    <dxf>
      <fill>
        <patternFill>
          <bgColor rgb="FFFF0000"/>
        </patternFill>
      </fill>
    </dxf>
    <dxf>
      <font>
        <b/>
        <color rgb="FFFF0000"/>
      </font>
      <fill>
        <patternFill>
          <bgColor theme="5" tint="0.79989013336588644"/>
        </patternFill>
      </fill>
    </dxf>
    <dxf>
      <font>
        <b/>
        <color rgb="FFFFCC00"/>
      </font>
      <fill>
        <patternFill>
          <bgColor theme="9" tint="0.79989013336588644"/>
        </patternFill>
      </fill>
    </dxf>
    <dxf>
      <font>
        <b/>
        <color rgb="FF00B050"/>
      </font>
      <fill>
        <patternFill>
          <bgColor rgb="FFC9FFE1"/>
        </patternFill>
      </fill>
    </dxf>
    <dxf>
      <font>
        <color rgb="FFFF0000"/>
      </font>
    </dxf>
    <dxf>
      <font>
        <color rgb="FF00B050"/>
      </font>
    </dxf>
    <dxf>
      <font>
        <color rgb="FFFFCC00"/>
      </font>
    </dxf>
    <dxf>
      <font>
        <color rgb="FF000000"/>
      </font>
    </dxf>
    <dxf>
      <font>
        <color rgb="FFFFCC00"/>
      </font>
    </dxf>
    <dxf>
      <font>
        <color rgb="FFFF0000"/>
      </font>
    </dxf>
    <dxf>
      <font>
        <color rgb="FF00B050"/>
      </font>
    </dxf>
    <dxf>
      <font>
        <color rgb="FF000000"/>
      </font>
    </dxf>
    <dxf>
      <font>
        <b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F0D9"/>
      <rgbColor rgb="FFFF00FF"/>
      <rgbColor rgb="FF00FFFF"/>
      <rgbColor rgb="FF800000"/>
      <rgbColor rgb="FF008000"/>
      <rgbColor rgb="FF000080"/>
      <rgbColor rgb="FF808000"/>
      <rgbColor rgb="FF800080"/>
      <rgbColor rgb="FF006A4D"/>
      <rgbColor rgb="FFB0B0B0"/>
      <rgbColor rgb="FF7A7A7A"/>
      <rgbColor rgb="FF8FAADC"/>
      <rgbColor rgb="FF993366"/>
      <rgbColor rgb="FFFFFFCC"/>
      <rgbColor rgb="FFDCEE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FFCD"/>
      <rgbColor rgb="FFC9FFE1"/>
      <rgbColor rgb="FFFBE5D6"/>
      <rgbColor rgb="FF9DC3E6"/>
      <rgbColor rgb="FFDEEBF7"/>
      <rgbColor rgb="FFDAE3F3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BFE3D4"/>
      <rgbColor rgb="FF003366"/>
      <rgbColor rgb="FF00B050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16</xdr:row>
      <xdr:rowOff>59040</xdr:rowOff>
    </xdr:from>
    <xdr:to>
      <xdr:col>17</xdr:col>
      <xdr:colOff>0</xdr:colOff>
      <xdr:row>16</xdr:row>
      <xdr:rowOff>59400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916400" y="13287240"/>
          <a:ext cx="0" cy="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16</xdr:row>
      <xdr:rowOff>59040</xdr:rowOff>
    </xdr:from>
    <xdr:to>
      <xdr:col>17</xdr:col>
      <xdr:colOff>0</xdr:colOff>
      <xdr:row>16</xdr:row>
      <xdr:rowOff>60480</xdr:rowOff>
    </xdr:to>
    <xdr:pic>
      <xdr:nvPicPr>
        <xdr:cNvPr id="3" name="Image 2" descr="Résultat de recherche d'images pour &quot;bbg feu&quot;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6916400" y="13287240"/>
          <a:ext cx="0" cy="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38</xdr:row>
      <xdr:rowOff>59040</xdr:rowOff>
    </xdr:from>
    <xdr:to>
      <xdr:col>17</xdr:col>
      <xdr:colOff>0</xdr:colOff>
      <xdr:row>38</xdr:row>
      <xdr:rowOff>60120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6916400" y="25317360"/>
          <a:ext cx="0" cy="1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31</xdr:row>
      <xdr:rowOff>59040</xdr:rowOff>
    </xdr:from>
    <xdr:to>
      <xdr:col>17</xdr:col>
      <xdr:colOff>0</xdr:colOff>
      <xdr:row>31</xdr:row>
      <xdr:rowOff>59400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916400" y="20031120"/>
          <a:ext cx="0" cy="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31</xdr:row>
      <xdr:rowOff>59040</xdr:rowOff>
    </xdr:from>
    <xdr:to>
      <xdr:col>17</xdr:col>
      <xdr:colOff>0</xdr:colOff>
      <xdr:row>31</xdr:row>
      <xdr:rowOff>60480</xdr:rowOff>
    </xdr:to>
    <xdr:pic>
      <xdr:nvPicPr>
        <xdr:cNvPr id="11" name="Image 10" descr="Résultat de recherche d'images pour &quot;bbg feu&quot;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6916400" y="20031120"/>
          <a:ext cx="0" cy="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5"/>
  <sheetViews>
    <sheetView showGridLines="0" tabSelected="1" zoomScale="63" zoomScaleNormal="63" workbookViewId="0">
      <pane xSplit="2" ySplit="12" topLeftCell="C13" activePane="bottomRight" state="frozen"/>
      <selection pane="topRight" activeCell="C1" sqref="C1"/>
      <selection pane="bottomLeft" activeCell="A14" sqref="A14"/>
      <selection pane="bottomRight" activeCell="B48" sqref="B48"/>
    </sheetView>
  </sheetViews>
  <sheetFormatPr baseColWidth="10" defaultColWidth="8.88671875" defaultRowHeight="14.4"/>
  <cols>
    <col min="1" max="1" width="15" customWidth="1"/>
    <col min="2" max="2" width="26" customWidth="1"/>
    <col min="3" max="3" width="29.6640625" customWidth="1"/>
    <col min="4" max="4" width="38" customWidth="1"/>
    <col min="5" max="9" width="9" customWidth="1"/>
    <col min="10" max="12" width="6" customWidth="1"/>
    <col min="13" max="13" width="7" customWidth="1"/>
    <col min="14" max="14" width="30" customWidth="1"/>
    <col min="15" max="15" width="8" customWidth="1"/>
    <col min="16" max="16" width="30" customWidth="1"/>
    <col min="17" max="17" width="8" customWidth="1"/>
    <col min="18" max="18" width="9" customWidth="1"/>
    <col min="19" max="19" width="30" customWidth="1"/>
    <col min="20" max="20" width="8" customWidth="1"/>
    <col min="21" max="21" width="30" customWidth="1"/>
    <col min="22" max="22" width="8" customWidth="1"/>
    <col min="23" max="26" width="9" customWidth="1"/>
    <col min="27" max="27" width="7" customWidth="1"/>
  </cols>
  <sheetData>
    <row r="1" spans="1:27" ht="14.2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6" spans="1:27" ht="21.75" customHeight="1">
      <c r="A6" s="5" t="s">
        <v>1</v>
      </c>
      <c r="B6" s="5"/>
      <c r="C6" s="7" t="s">
        <v>2</v>
      </c>
    </row>
    <row r="10" spans="1:27" ht="23.85" customHeight="1">
      <c r="A10" s="8"/>
      <c r="B10" s="4" t="s">
        <v>3</v>
      </c>
      <c r="C10" s="4" t="s">
        <v>4</v>
      </c>
      <c r="D10" s="4" t="s">
        <v>5</v>
      </c>
      <c r="E10" s="4" t="s">
        <v>6</v>
      </c>
      <c r="F10" s="4"/>
      <c r="G10" s="4"/>
      <c r="H10" s="4"/>
      <c r="I10" s="4"/>
      <c r="J10" s="4" t="s">
        <v>7</v>
      </c>
      <c r="K10" s="4"/>
      <c r="L10" s="4"/>
      <c r="M10" s="4" t="s">
        <v>8</v>
      </c>
      <c r="N10" s="4" t="s">
        <v>9</v>
      </c>
      <c r="O10" s="4"/>
      <c r="P10" s="4"/>
      <c r="Q10" s="4"/>
      <c r="R10" s="4"/>
      <c r="S10" s="4"/>
      <c r="T10" s="4"/>
      <c r="U10" s="4"/>
      <c r="V10" s="4"/>
      <c r="W10" s="4"/>
      <c r="X10" s="4" t="s">
        <v>10</v>
      </c>
      <c r="Y10" s="4" t="s">
        <v>11</v>
      </c>
      <c r="Z10" s="4" t="s">
        <v>12</v>
      </c>
      <c r="AA10" s="4" t="s">
        <v>13</v>
      </c>
    </row>
    <row r="11" spans="1:27" ht="14.25" customHeight="1">
      <c r="A11" s="9"/>
      <c r="B11" s="4"/>
      <c r="C11" s="4"/>
      <c r="D11" s="4"/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4"/>
      <c r="N11" s="3" t="s">
        <v>22</v>
      </c>
      <c r="O11" s="3"/>
      <c r="P11" s="3"/>
      <c r="Q11" s="3"/>
      <c r="R11" s="3" t="s">
        <v>23</v>
      </c>
      <c r="S11" s="3" t="s">
        <v>24</v>
      </c>
      <c r="T11" s="3"/>
      <c r="U11" s="3"/>
      <c r="V11" s="3"/>
      <c r="W11" s="3" t="s">
        <v>25</v>
      </c>
      <c r="X11" s="4"/>
      <c r="Y11" s="4"/>
      <c r="Z11" s="4"/>
      <c r="AA11" s="4"/>
    </row>
    <row r="12" spans="1:27" ht="85.2" customHeight="1">
      <c r="A12" s="9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 t="s">
        <v>26</v>
      </c>
      <c r="O12" s="9" t="s">
        <v>27</v>
      </c>
      <c r="P12" s="9" t="s">
        <v>28</v>
      </c>
      <c r="Q12" s="9" t="s">
        <v>29</v>
      </c>
      <c r="R12" s="3"/>
      <c r="S12" s="9" t="s">
        <v>30</v>
      </c>
      <c r="T12" s="9" t="s">
        <v>31</v>
      </c>
      <c r="U12" s="9" t="s">
        <v>32</v>
      </c>
      <c r="V12" s="9" t="s">
        <v>33</v>
      </c>
      <c r="W12" s="3"/>
      <c r="X12" s="3"/>
      <c r="Y12" s="3"/>
      <c r="Z12" s="3"/>
      <c r="AA12" s="3"/>
    </row>
    <row r="13" spans="1:27" ht="172.8">
      <c r="A13" s="2" t="s">
        <v>34</v>
      </c>
      <c r="B13" s="10" t="s">
        <v>35</v>
      </c>
      <c r="C13" s="11" t="s">
        <v>36</v>
      </c>
      <c r="D13" s="10" t="s">
        <v>37</v>
      </c>
      <c r="E13" s="10"/>
      <c r="F13" s="10"/>
      <c r="G13" s="12"/>
      <c r="H13" s="12"/>
      <c r="I13" s="12"/>
      <c r="J13" s="13">
        <v>3</v>
      </c>
      <c r="K13" s="13">
        <v>2</v>
      </c>
      <c r="L13" s="13">
        <v>4</v>
      </c>
      <c r="M13" s="14">
        <f t="shared" ref="M13:M43" si="0">J13*K13*L13</f>
        <v>24</v>
      </c>
      <c r="N13" s="15" t="s">
        <v>38</v>
      </c>
      <c r="O13" s="13">
        <v>0.5</v>
      </c>
      <c r="P13" s="16" t="s">
        <v>39</v>
      </c>
      <c r="Q13" s="13">
        <v>0.5</v>
      </c>
      <c r="R13" s="17">
        <f t="shared" ref="R13:R43" si="1">PRODUCT(O13,Q13)</f>
        <v>0.25</v>
      </c>
      <c r="S13" s="16" t="s">
        <v>40</v>
      </c>
      <c r="T13" s="13">
        <v>0.5</v>
      </c>
      <c r="U13" s="16" t="s">
        <v>41</v>
      </c>
      <c r="V13" s="13">
        <v>0.5</v>
      </c>
      <c r="W13" s="17">
        <f t="shared" ref="W13:W43" si="2">PRODUCT(T13,V13)</f>
        <v>0.25</v>
      </c>
      <c r="X13" s="18">
        <v>0.25</v>
      </c>
      <c r="Y13" s="19">
        <f t="shared" ref="Y13:Y43" si="3">IF(X13&lt;0.75,IF(X13&lt;=0.5,1,2),3)</f>
        <v>1</v>
      </c>
      <c r="Z13" s="20">
        <f t="shared" ref="Z13:Z43" si="4">M13*X13</f>
        <v>6</v>
      </c>
      <c r="AA13" s="21" t="s">
        <v>19</v>
      </c>
    </row>
    <row r="14" spans="1:27" ht="115.2">
      <c r="A14" s="2"/>
      <c r="B14" s="10" t="s">
        <v>42</v>
      </c>
      <c r="C14" s="11" t="s">
        <v>36</v>
      </c>
      <c r="D14" s="22" t="s">
        <v>43</v>
      </c>
      <c r="E14" s="10"/>
      <c r="F14" s="10"/>
      <c r="G14" s="12"/>
      <c r="H14" s="12"/>
      <c r="I14" s="12"/>
      <c r="J14" s="13">
        <v>3</v>
      </c>
      <c r="K14" s="13">
        <v>2</v>
      </c>
      <c r="L14" s="13">
        <v>4</v>
      </c>
      <c r="M14" s="14">
        <f t="shared" si="0"/>
        <v>24</v>
      </c>
      <c r="N14" s="23" t="s">
        <v>44</v>
      </c>
      <c r="O14" s="13">
        <v>1</v>
      </c>
      <c r="P14" s="16" t="s">
        <v>45</v>
      </c>
      <c r="Q14" s="13">
        <v>0.5</v>
      </c>
      <c r="R14" s="17">
        <f t="shared" si="1"/>
        <v>0.5</v>
      </c>
      <c r="S14" s="16" t="s">
        <v>46</v>
      </c>
      <c r="T14" s="13">
        <v>0.5</v>
      </c>
      <c r="U14" s="16" t="s">
        <v>41</v>
      </c>
      <c r="V14" s="13">
        <v>0.5</v>
      </c>
      <c r="W14" s="17">
        <f t="shared" si="2"/>
        <v>0.25</v>
      </c>
      <c r="X14" s="18">
        <v>0.375</v>
      </c>
      <c r="Y14" s="19">
        <f t="shared" si="3"/>
        <v>1</v>
      </c>
      <c r="Z14" s="20">
        <f t="shared" si="4"/>
        <v>9</v>
      </c>
      <c r="AA14" s="21" t="s">
        <v>19</v>
      </c>
    </row>
    <row r="15" spans="1:27">
      <c r="A15" s="2"/>
      <c r="B15" s="12" t="s">
        <v>47</v>
      </c>
      <c r="C15" s="24" t="s">
        <v>48</v>
      </c>
      <c r="D15" s="12" t="s">
        <v>47</v>
      </c>
      <c r="E15" s="12"/>
      <c r="F15" s="12"/>
      <c r="G15" s="12"/>
      <c r="H15" s="12"/>
      <c r="I15" s="12"/>
      <c r="J15" s="13" t="s">
        <v>49</v>
      </c>
      <c r="K15" s="13" t="s">
        <v>49</v>
      </c>
      <c r="L15" s="13" t="s">
        <v>49</v>
      </c>
      <c r="M15" s="21" t="e">
        <f t="shared" si="0"/>
        <v>#VALUE!</v>
      </c>
      <c r="N15" s="25"/>
      <c r="O15" s="13">
        <v>1</v>
      </c>
      <c r="P15" s="12"/>
      <c r="Q15" s="13">
        <v>1</v>
      </c>
      <c r="R15" s="17">
        <f t="shared" si="1"/>
        <v>1</v>
      </c>
      <c r="S15" s="26"/>
      <c r="T15" s="13">
        <v>1</v>
      </c>
      <c r="U15" s="12"/>
      <c r="V15" s="13">
        <v>1</v>
      </c>
      <c r="W15" s="17">
        <f t="shared" si="2"/>
        <v>1</v>
      </c>
      <c r="X15" s="18">
        <v>1</v>
      </c>
      <c r="Y15" s="19">
        <f t="shared" si="3"/>
        <v>3</v>
      </c>
      <c r="Z15" s="20" t="e">
        <f t="shared" si="4"/>
        <v>#VALUE!</v>
      </c>
      <c r="AA15" s="21" t="e">
        <f>#VALUE!</f>
        <v>#VALUE!</v>
      </c>
    </row>
    <row r="16" spans="1:27">
      <c r="A16" s="2"/>
      <c r="B16" s="10" t="s">
        <v>47</v>
      </c>
      <c r="C16" s="24" t="s">
        <v>50</v>
      </c>
      <c r="D16" s="12" t="s">
        <v>47</v>
      </c>
      <c r="E16" s="12"/>
      <c r="F16" s="12"/>
      <c r="G16" s="12"/>
      <c r="H16" s="12"/>
      <c r="I16" s="12"/>
      <c r="J16" s="13" t="s">
        <v>49</v>
      </c>
      <c r="K16" s="13" t="s">
        <v>49</v>
      </c>
      <c r="L16" s="13" t="s">
        <v>49</v>
      </c>
      <c r="M16" s="21" t="e">
        <f t="shared" si="0"/>
        <v>#VALUE!</v>
      </c>
      <c r="N16" s="23"/>
      <c r="O16" s="13">
        <v>1</v>
      </c>
      <c r="P16" s="12"/>
      <c r="Q16" s="13">
        <v>1</v>
      </c>
      <c r="R16" s="17">
        <f t="shared" si="1"/>
        <v>1</v>
      </c>
      <c r="S16" s="26"/>
      <c r="T16" s="13">
        <v>1</v>
      </c>
      <c r="U16" s="10"/>
      <c r="V16" s="13">
        <v>1</v>
      </c>
      <c r="W16" s="17">
        <f t="shared" si="2"/>
        <v>1</v>
      </c>
      <c r="X16" s="18">
        <v>1</v>
      </c>
      <c r="Y16" s="19">
        <f t="shared" si="3"/>
        <v>3</v>
      </c>
      <c r="Z16" s="20" t="e">
        <f t="shared" si="4"/>
        <v>#VALUE!</v>
      </c>
      <c r="AA16" s="21" t="e">
        <f>#VALUE!</f>
        <v>#VALUE!</v>
      </c>
    </row>
    <row r="17" spans="1:27">
      <c r="A17" s="2"/>
      <c r="B17" s="12" t="s">
        <v>47</v>
      </c>
      <c r="C17" s="24" t="s">
        <v>51</v>
      </c>
      <c r="D17" s="12" t="s">
        <v>47</v>
      </c>
      <c r="E17" s="12"/>
      <c r="F17" s="12"/>
      <c r="G17" s="12"/>
      <c r="H17" s="12"/>
      <c r="I17" s="12"/>
      <c r="J17" s="13" t="s">
        <v>49</v>
      </c>
      <c r="K17" s="13" t="s">
        <v>49</v>
      </c>
      <c r="L17" s="13" t="s">
        <v>49</v>
      </c>
      <c r="M17" s="21" t="e">
        <f t="shared" si="0"/>
        <v>#VALUE!</v>
      </c>
      <c r="N17" s="26"/>
      <c r="O17" s="13">
        <v>1</v>
      </c>
      <c r="P17" s="12"/>
      <c r="Q17" s="13">
        <v>1</v>
      </c>
      <c r="R17" s="17">
        <f t="shared" si="1"/>
        <v>1</v>
      </c>
      <c r="S17" s="26"/>
      <c r="T17" s="13">
        <v>1</v>
      </c>
      <c r="U17" s="12"/>
      <c r="V17" s="13">
        <v>1</v>
      </c>
      <c r="W17" s="17">
        <f t="shared" si="2"/>
        <v>1</v>
      </c>
      <c r="X17" s="18">
        <v>1</v>
      </c>
      <c r="Y17" s="19">
        <f t="shared" si="3"/>
        <v>3</v>
      </c>
      <c r="Z17" s="20" t="e">
        <f t="shared" si="4"/>
        <v>#VALUE!</v>
      </c>
      <c r="AA17" s="21" t="e">
        <f>#VALUE!</f>
        <v>#VALUE!</v>
      </c>
    </row>
    <row r="18" spans="1:27" ht="72" customHeight="1">
      <c r="A18" s="2"/>
      <c r="B18" s="10" t="s">
        <v>52</v>
      </c>
      <c r="C18" s="24" t="s">
        <v>53</v>
      </c>
      <c r="D18" s="12" t="s">
        <v>47</v>
      </c>
      <c r="E18" s="12"/>
      <c r="F18" s="12"/>
      <c r="G18" s="12"/>
      <c r="H18" s="12"/>
      <c r="I18" s="12"/>
      <c r="J18" s="13" t="s">
        <v>49</v>
      </c>
      <c r="K18" s="13" t="s">
        <v>49</v>
      </c>
      <c r="L18" s="13" t="s">
        <v>49</v>
      </c>
      <c r="M18" s="21" t="e">
        <f t="shared" si="0"/>
        <v>#VALUE!</v>
      </c>
      <c r="N18" s="26"/>
      <c r="O18" s="13">
        <v>1</v>
      </c>
      <c r="P18" s="22"/>
      <c r="Q18" s="13">
        <v>1</v>
      </c>
      <c r="R18" s="17">
        <f t="shared" si="1"/>
        <v>1</v>
      </c>
      <c r="S18" s="27"/>
      <c r="T18" s="13">
        <v>1</v>
      </c>
      <c r="U18" s="10"/>
      <c r="V18" s="13">
        <v>1</v>
      </c>
      <c r="W18" s="17">
        <f t="shared" si="2"/>
        <v>1</v>
      </c>
      <c r="X18" s="18">
        <v>1</v>
      </c>
      <c r="Y18" s="19">
        <f t="shared" si="3"/>
        <v>3</v>
      </c>
      <c r="Z18" s="20" t="e">
        <f t="shared" si="4"/>
        <v>#VALUE!</v>
      </c>
      <c r="AA18" s="21" t="e">
        <f>#VALUE!</f>
        <v>#VALUE!</v>
      </c>
    </row>
    <row r="19" spans="1:27">
      <c r="A19" s="2"/>
      <c r="B19" s="10" t="s">
        <v>47</v>
      </c>
      <c r="C19" s="24" t="s">
        <v>54</v>
      </c>
      <c r="D19" s="12" t="s">
        <v>47</v>
      </c>
      <c r="E19" s="10"/>
      <c r="F19" s="12"/>
      <c r="G19" s="12"/>
      <c r="H19" s="12"/>
      <c r="I19" s="12"/>
      <c r="J19" s="13" t="s">
        <v>49</v>
      </c>
      <c r="K19" s="13" t="s">
        <v>49</v>
      </c>
      <c r="L19" s="13" t="s">
        <v>49</v>
      </c>
      <c r="M19" s="21" t="e">
        <f t="shared" si="0"/>
        <v>#VALUE!</v>
      </c>
      <c r="N19" s="23"/>
      <c r="O19" s="13">
        <v>1</v>
      </c>
      <c r="P19" s="12"/>
      <c r="Q19" s="13">
        <v>1</v>
      </c>
      <c r="R19" s="17">
        <f t="shared" si="1"/>
        <v>1</v>
      </c>
      <c r="S19" s="23"/>
      <c r="T19" s="13">
        <v>1</v>
      </c>
      <c r="U19" s="10"/>
      <c r="V19" s="13">
        <v>1</v>
      </c>
      <c r="W19" s="17">
        <f t="shared" si="2"/>
        <v>1</v>
      </c>
      <c r="X19" s="18">
        <v>1</v>
      </c>
      <c r="Y19" s="19">
        <f t="shared" si="3"/>
        <v>3</v>
      </c>
      <c r="Z19" s="20" t="e">
        <f t="shared" si="4"/>
        <v>#VALUE!</v>
      </c>
      <c r="AA19" s="21" t="e">
        <f>#VALUE!</f>
        <v>#VALUE!</v>
      </c>
    </row>
    <row r="20" spans="1:27" ht="86.25" customHeight="1">
      <c r="A20" s="2"/>
      <c r="B20" s="10" t="s">
        <v>47</v>
      </c>
      <c r="C20" s="11" t="s">
        <v>55</v>
      </c>
      <c r="D20" s="12" t="s">
        <v>47</v>
      </c>
      <c r="E20" s="12"/>
      <c r="F20" s="12"/>
      <c r="G20" s="12"/>
      <c r="H20" s="12"/>
      <c r="I20" s="12"/>
      <c r="J20" s="13" t="s">
        <v>49</v>
      </c>
      <c r="K20" s="13" t="s">
        <v>49</v>
      </c>
      <c r="L20" s="13" t="s">
        <v>49</v>
      </c>
      <c r="M20" s="21" t="e">
        <f t="shared" si="0"/>
        <v>#VALUE!</v>
      </c>
      <c r="N20" s="26"/>
      <c r="O20" s="13">
        <v>1</v>
      </c>
      <c r="P20" s="10"/>
      <c r="Q20" s="13">
        <v>1</v>
      </c>
      <c r="R20" s="17">
        <f t="shared" si="1"/>
        <v>1</v>
      </c>
      <c r="S20" s="23"/>
      <c r="T20" s="13">
        <v>1</v>
      </c>
      <c r="U20" s="10"/>
      <c r="V20" s="13">
        <v>1</v>
      </c>
      <c r="W20" s="17">
        <f t="shared" si="2"/>
        <v>1</v>
      </c>
      <c r="X20" s="18">
        <v>1</v>
      </c>
      <c r="Y20" s="19">
        <f t="shared" si="3"/>
        <v>3</v>
      </c>
      <c r="Z20" s="20" t="e">
        <f t="shared" si="4"/>
        <v>#VALUE!</v>
      </c>
      <c r="AA20" s="21" t="e">
        <f>#VALUE!</f>
        <v>#VALUE!</v>
      </c>
    </row>
    <row r="21" spans="1:27">
      <c r="A21" s="2"/>
      <c r="B21" s="12" t="s">
        <v>47</v>
      </c>
      <c r="C21" s="24" t="s">
        <v>56</v>
      </c>
      <c r="D21" s="12" t="s">
        <v>47</v>
      </c>
      <c r="E21" s="12"/>
      <c r="F21" s="12"/>
      <c r="G21" s="12"/>
      <c r="H21" s="12"/>
      <c r="I21" s="12"/>
      <c r="J21" s="13" t="s">
        <v>49</v>
      </c>
      <c r="K21" s="13" t="s">
        <v>49</v>
      </c>
      <c r="L21" s="13" t="s">
        <v>49</v>
      </c>
      <c r="M21" s="21" t="e">
        <f t="shared" si="0"/>
        <v>#VALUE!</v>
      </c>
      <c r="N21" s="26"/>
      <c r="O21" s="13">
        <v>1</v>
      </c>
      <c r="P21" s="12"/>
      <c r="Q21" s="13">
        <v>1</v>
      </c>
      <c r="R21" s="17">
        <f t="shared" si="1"/>
        <v>1</v>
      </c>
      <c r="S21" s="26"/>
      <c r="T21" s="13">
        <v>1</v>
      </c>
      <c r="U21" s="12"/>
      <c r="V21" s="13">
        <v>1</v>
      </c>
      <c r="W21" s="17">
        <f t="shared" si="2"/>
        <v>1</v>
      </c>
      <c r="X21" s="18">
        <v>1</v>
      </c>
      <c r="Y21" s="19">
        <f t="shared" si="3"/>
        <v>3</v>
      </c>
      <c r="Z21" s="20" t="e">
        <f t="shared" si="4"/>
        <v>#VALUE!</v>
      </c>
      <c r="AA21" s="21" t="e">
        <f>#VALUE!</f>
        <v>#VALUE!</v>
      </c>
    </row>
    <row r="22" spans="1:27">
      <c r="A22" s="2"/>
      <c r="B22" s="10" t="s">
        <v>47</v>
      </c>
      <c r="C22" s="24" t="s">
        <v>57</v>
      </c>
      <c r="D22" s="12" t="s">
        <v>47</v>
      </c>
      <c r="E22" s="12"/>
      <c r="F22" s="10"/>
      <c r="G22" s="12"/>
      <c r="H22" s="10"/>
      <c r="I22" s="12"/>
      <c r="J22" s="13" t="s">
        <v>49</v>
      </c>
      <c r="K22" s="13" t="s">
        <v>49</v>
      </c>
      <c r="L22" s="13" t="s">
        <v>49</v>
      </c>
      <c r="M22" s="21" t="e">
        <f t="shared" si="0"/>
        <v>#VALUE!</v>
      </c>
      <c r="N22" s="23"/>
      <c r="O22" s="13">
        <v>1</v>
      </c>
      <c r="P22" s="10"/>
      <c r="Q22" s="13">
        <v>1</v>
      </c>
      <c r="R22" s="17">
        <f t="shared" si="1"/>
        <v>1</v>
      </c>
      <c r="S22" s="23"/>
      <c r="T22" s="13">
        <v>1</v>
      </c>
      <c r="U22" s="10"/>
      <c r="V22" s="13">
        <v>1</v>
      </c>
      <c r="W22" s="17">
        <f t="shared" si="2"/>
        <v>1</v>
      </c>
      <c r="X22" s="18">
        <v>1</v>
      </c>
      <c r="Y22" s="19">
        <f t="shared" si="3"/>
        <v>3</v>
      </c>
      <c r="Z22" s="20" t="e">
        <f t="shared" si="4"/>
        <v>#VALUE!</v>
      </c>
      <c r="AA22" s="21" t="e">
        <f>#VALUE!</f>
        <v>#VALUE!</v>
      </c>
    </row>
    <row r="23" spans="1:27">
      <c r="A23" s="2"/>
      <c r="B23" s="12" t="s">
        <v>47</v>
      </c>
      <c r="C23" s="24" t="s">
        <v>58</v>
      </c>
      <c r="D23" s="12" t="s">
        <v>47</v>
      </c>
      <c r="E23" s="12"/>
      <c r="F23" s="12"/>
      <c r="G23" s="12"/>
      <c r="H23" s="12"/>
      <c r="I23" s="12"/>
      <c r="J23" s="13" t="s">
        <v>49</v>
      </c>
      <c r="K23" s="13" t="s">
        <v>49</v>
      </c>
      <c r="L23" s="13" t="s">
        <v>49</v>
      </c>
      <c r="M23" s="21" t="e">
        <f t="shared" si="0"/>
        <v>#VALUE!</v>
      </c>
      <c r="N23" s="26"/>
      <c r="O23" s="13">
        <v>1</v>
      </c>
      <c r="P23" s="12"/>
      <c r="Q23" s="13">
        <v>1</v>
      </c>
      <c r="R23" s="17">
        <f t="shared" si="1"/>
        <v>1</v>
      </c>
      <c r="S23" s="26"/>
      <c r="T23" s="13">
        <v>1</v>
      </c>
      <c r="U23" s="12"/>
      <c r="V23" s="13">
        <v>1</v>
      </c>
      <c r="W23" s="17">
        <f t="shared" si="2"/>
        <v>1</v>
      </c>
      <c r="X23" s="18">
        <v>1</v>
      </c>
      <c r="Y23" s="19">
        <f t="shared" si="3"/>
        <v>3</v>
      </c>
      <c r="Z23" s="20" t="e">
        <f t="shared" si="4"/>
        <v>#VALUE!</v>
      </c>
      <c r="AA23" s="21" t="e">
        <f>#VALUE!</f>
        <v>#VALUE!</v>
      </c>
    </row>
    <row r="24" spans="1:27">
      <c r="A24" s="2"/>
      <c r="B24" s="10" t="s">
        <v>47</v>
      </c>
      <c r="C24" s="24" t="s">
        <v>59</v>
      </c>
      <c r="D24" s="12" t="s">
        <v>47</v>
      </c>
      <c r="E24" s="10"/>
      <c r="F24" s="12"/>
      <c r="G24" s="12"/>
      <c r="H24" s="12"/>
      <c r="I24" s="12"/>
      <c r="J24" s="13" t="s">
        <v>49</v>
      </c>
      <c r="K24" s="13" t="s">
        <v>49</v>
      </c>
      <c r="L24" s="13" t="s">
        <v>49</v>
      </c>
      <c r="M24" s="21" t="e">
        <f t="shared" si="0"/>
        <v>#VALUE!</v>
      </c>
      <c r="N24" s="26"/>
      <c r="O24" s="13">
        <v>1</v>
      </c>
      <c r="P24" s="10"/>
      <c r="Q24" s="13">
        <v>1</v>
      </c>
      <c r="R24" s="17">
        <f t="shared" si="1"/>
        <v>1</v>
      </c>
      <c r="S24" s="23"/>
      <c r="T24" s="13">
        <v>1</v>
      </c>
      <c r="U24" s="10"/>
      <c r="V24" s="13">
        <v>1</v>
      </c>
      <c r="W24" s="17">
        <f t="shared" si="2"/>
        <v>1</v>
      </c>
      <c r="X24" s="18">
        <v>1</v>
      </c>
      <c r="Y24" s="19">
        <f t="shared" si="3"/>
        <v>3</v>
      </c>
      <c r="Z24" s="20" t="e">
        <f t="shared" si="4"/>
        <v>#VALUE!</v>
      </c>
      <c r="AA24" s="21" t="e">
        <f>#VALUE!</f>
        <v>#VALUE!</v>
      </c>
    </row>
    <row r="25" spans="1:27">
      <c r="A25" s="2"/>
      <c r="B25" s="12" t="s">
        <v>52</v>
      </c>
      <c r="C25" s="24" t="s">
        <v>60</v>
      </c>
      <c r="D25" s="12" t="s">
        <v>47</v>
      </c>
      <c r="E25" s="12"/>
      <c r="F25" s="12"/>
      <c r="G25" s="12"/>
      <c r="H25" s="12"/>
      <c r="I25" s="12"/>
      <c r="J25" s="13" t="s">
        <v>49</v>
      </c>
      <c r="K25" s="13" t="s">
        <v>49</v>
      </c>
      <c r="L25" s="13" t="s">
        <v>49</v>
      </c>
      <c r="M25" s="21" t="e">
        <f t="shared" si="0"/>
        <v>#VALUE!</v>
      </c>
      <c r="N25" s="26"/>
      <c r="O25" s="13">
        <v>1</v>
      </c>
      <c r="P25" s="12"/>
      <c r="Q25" s="13">
        <v>1</v>
      </c>
      <c r="R25" s="17">
        <f t="shared" si="1"/>
        <v>1</v>
      </c>
      <c r="S25" s="26"/>
      <c r="T25" s="13">
        <v>1</v>
      </c>
      <c r="U25" s="12"/>
      <c r="V25" s="13">
        <v>1</v>
      </c>
      <c r="W25" s="17">
        <f t="shared" si="2"/>
        <v>1</v>
      </c>
      <c r="X25" s="18">
        <v>1</v>
      </c>
      <c r="Y25" s="19">
        <f t="shared" si="3"/>
        <v>3</v>
      </c>
      <c r="Z25" s="20" t="e">
        <f t="shared" si="4"/>
        <v>#VALUE!</v>
      </c>
      <c r="AA25" s="21" t="e">
        <f>#VALUE!</f>
        <v>#VALUE!</v>
      </c>
    </row>
    <row r="26" spans="1:27">
      <c r="A26" s="2"/>
      <c r="B26" s="12" t="s">
        <v>47</v>
      </c>
      <c r="C26" s="24" t="s">
        <v>61</v>
      </c>
      <c r="D26" s="12" t="s">
        <v>47</v>
      </c>
      <c r="E26" s="12"/>
      <c r="F26" s="12"/>
      <c r="G26" s="12"/>
      <c r="H26" s="12"/>
      <c r="I26" s="12"/>
      <c r="J26" s="13" t="s">
        <v>49</v>
      </c>
      <c r="K26" s="13" t="s">
        <v>49</v>
      </c>
      <c r="L26" s="13" t="s">
        <v>49</v>
      </c>
      <c r="M26" s="21" t="e">
        <f t="shared" si="0"/>
        <v>#VALUE!</v>
      </c>
      <c r="N26" s="26"/>
      <c r="O26" s="13">
        <v>1</v>
      </c>
      <c r="P26" s="12"/>
      <c r="Q26" s="13">
        <v>1</v>
      </c>
      <c r="R26" s="17">
        <f t="shared" si="1"/>
        <v>1</v>
      </c>
      <c r="S26" s="26"/>
      <c r="T26" s="13">
        <v>1</v>
      </c>
      <c r="U26" s="12"/>
      <c r="V26" s="13">
        <v>1</v>
      </c>
      <c r="W26" s="17">
        <f t="shared" si="2"/>
        <v>1</v>
      </c>
      <c r="X26" s="18">
        <v>1</v>
      </c>
      <c r="Y26" s="19">
        <f t="shared" si="3"/>
        <v>3</v>
      </c>
      <c r="Z26" s="20" t="e">
        <f t="shared" si="4"/>
        <v>#VALUE!</v>
      </c>
      <c r="AA26" s="21" t="e">
        <f>#VALUE!</f>
        <v>#VALUE!</v>
      </c>
    </row>
    <row r="27" spans="1:27" ht="72" customHeight="1">
      <c r="A27" s="2"/>
      <c r="B27" s="10" t="s">
        <v>62</v>
      </c>
      <c r="C27" s="24" t="s">
        <v>63</v>
      </c>
      <c r="D27" s="10" t="s">
        <v>64</v>
      </c>
      <c r="E27" s="12"/>
      <c r="F27" s="12"/>
      <c r="G27" s="12"/>
      <c r="H27" s="12"/>
      <c r="I27" s="12"/>
      <c r="J27" s="13" t="s">
        <v>49</v>
      </c>
      <c r="K27" s="13" t="s">
        <v>49</v>
      </c>
      <c r="L27" s="13" t="s">
        <v>49</v>
      </c>
      <c r="M27" s="21" t="e">
        <f t="shared" si="0"/>
        <v>#VALUE!</v>
      </c>
      <c r="N27" s="26"/>
      <c r="O27" s="13">
        <v>1</v>
      </c>
      <c r="P27" s="12"/>
      <c r="Q27" s="13">
        <v>1</v>
      </c>
      <c r="R27" s="17">
        <f t="shared" si="1"/>
        <v>1</v>
      </c>
      <c r="S27" s="23"/>
      <c r="T27" s="13">
        <v>1</v>
      </c>
      <c r="U27" s="12"/>
      <c r="V27" s="13">
        <v>1</v>
      </c>
      <c r="W27" s="17">
        <f t="shared" si="2"/>
        <v>1</v>
      </c>
      <c r="X27" s="18">
        <v>1</v>
      </c>
      <c r="Y27" s="19">
        <f t="shared" si="3"/>
        <v>3</v>
      </c>
      <c r="Z27" s="20" t="e">
        <f t="shared" si="4"/>
        <v>#VALUE!</v>
      </c>
      <c r="AA27" s="21" t="e">
        <f>#VALUE!</f>
        <v>#VALUE!</v>
      </c>
    </row>
    <row r="28" spans="1:27" ht="129.75" customHeight="1">
      <c r="A28" s="2"/>
      <c r="B28" s="12" t="s">
        <v>47</v>
      </c>
      <c r="C28" s="11" t="s">
        <v>65</v>
      </c>
      <c r="D28" s="12" t="s">
        <v>47</v>
      </c>
      <c r="E28" s="12"/>
      <c r="F28" s="12"/>
      <c r="G28" s="12"/>
      <c r="H28" s="12"/>
      <c r="I28" s="12"/>
      <c r="J28" s="13" t="s">
        <v>49</v>
      </c>
      <c r="K28" s="13" t="s">
        <v>49</v>
      </c>
      <c r="L28" s="13" t="s">
        <v>49</v>
      </c>
      <c r="M28" s="21" t="e">
        <f t="shared" si="0"/>
        <v>#VALUE!</v>
      </c>
      <c r="N28" s="26"/>
      <c r="O28" s="13">
        <v>1</v>
      </c>
      <c r="P28" s="12"/>
      <c r="Q28" s="13">
        <v>1</v>
      </c>
      <c r="R28" s="17">
        <f t="shared" si="1"/>
        <v>1</v>
      </c>
      <c r="S28" s="26"/>
      <c r="T28" s="13">
        <v>1</v>
      </c>
      <c r="U28" s="12"/>
      <c r="V28" s="13">
        <v>1</v>
      </c>
      <c r="W28" s="17">
        <f t="shared" si="2"/>
        <v>1</v>
      </c>
      <c r="X28" s="18">
        <v>1</v>
      </c>
      <c r="Y28" s="19">
        <f t="shared" si="3"/>
        <v>3</v>
      </c>
      <c r="Z28" s="20" t="e">
        <f t="shared" si="4"/>
        <v>#VALUE!</v>
      </c>
      <c r="AA28" s="21" t="e">
        <f>#VALUE!</f>
        <v>#VALUE!</v>
      </c>
    </row>
    <row r="29" spans="1:27" ht="28.5" customHeight="1">
      <c r="A29" s="1" t="s">
        <v>66</v>
      </c>
      <c r="B29" s="12" t="s">
        <v>67</v>
      </c>
      <c r="C29" s="11" t="s">
        <v>36</v>
      </c>
      <c r="D29" s="12" t="s">
        <v>47</v>
      </c>
      <c r="E29" s="12"/>
      <c r="F29" s="12"/>
      <c r="G29" s="12"/>
      <c r="H29" s="12"/>
      <c r="I29" s="12"/>
      <c r="J29" s="13" t="s">
        <v>49</v>
      </c>
      <c r="K29" s="13" t="s">
        <v>49</v>
      </c>
      <c r="L29" s="13" t="s">
        <v>49</v>
      </c>
      <c r="M29" s="21" t="e">
        <f t="shared" si="0"/>
        <v>#VALUE!</v>
      </c>
      <c r="N29" s="26"/>
      <c r="O29" s="13">
        <v>1</v>
      </c>
      <c r="P29" s="12"/>
      <c r="Q29" s="13">
        <v>1</v>
      </c>
      <c r="R29" s="17">
        <f t="shared" si="1"/>
        <v>1</v>
      </c>
      <c r="S29" s="26"/>
      <c r="T29" s="13">
        <v>1</v>
      </c>
      <c r="U29" s="12"/>
      <c r="V29" s="13">
        <v>1</v>
      </c>
      <c r="W29" s="17">
        <f t="shared" si="2"/>
        <v>1</v>
      </c>
      <c r="X29" s="18">
        <v>1</v>
      </c>
      <c r="Y29" s="19">
        <f t="shared" si="3"/>
        <v>3</v>
      </c>
      <c r="Z29" s="20" t="e">
        <f t="shared" si="4"/>
        <v>#VALUE!</v>
      </c>
      <c r="AA29" s="21" t="e">
        <f>#VALUE!</f>
        <v>#VALUE!</v>
      </c>
    </row>
    <row r="30" spans="1:27">
      <c r="A30" s="1"/>
      <c r="B30" s="12" t="s">
        <v>47</v>
      </c>
      <c r="C30" s="24" t="s">
        <v>48</v>
      </c>
      <c r="D30" s="12" t="s">
        <v>47</v>
      </c>
      <c r="E30" s="12"/>
      <c r="F30" s="12"/>
      <c r="G30" s="12"/>
      <c r="H30" s="12"/>
      <c r="I30" s="12"/>
      <c r="J30" s="13" t="s">
        <v>49</v>
      </c>
      <c r="K30" s="13" t="s">
        <v>49</v>
      </c>
      <c r="L30" s="13" t="s">
        <v>49</v>
      </c>
      <c r="M30" s="21" t="e">
        <f t="shared" si="0"/>
        <v>#VALUE!</v>
      </c>
      <c r="N30" s="26"/>
      <c r="O30" s="13">
        <v>1</v>
      </c>
      <c r="P30" s="12"/>
      <c r="Q30" s="13">
        <v>1</v>
      </c>
      <c r="R30" s="17">
        <f t="shared" si="1"/>
        <v>1</v>
      </c>
      <c r="S30" s="26"/>
      <c r="T30" s="13">
        <v>1</v>
      </c>
      <c r="U30" s="12"/>
      <c r="V30" s="13">
        <v>1</v>
      </c>
      <c r="W30" s="17">
        <f t="shared" si="2"/>
        <v>1</v>
      </c>
      <c r="X30" s="18">
        <v>1</v>
      </c>
      <c r="Y30" s="19">
        <f t="shared" si="3"/>
        <v>3</v>
      </c>
      <c r="Z30" s="20" t="e">
        <f t="shared" si="4"/>
        <v>#VALUE!</v>
      </c>
      <c r="AA30" s="21" t="e">
        <f>#VALUE!</f>
        <v>#VALUE!</v>
      </c>
    </row>
    <row r="31" spans="1:27">
      <c r="A31" s="1"/>
      <c r="B31" s="12" t="s">
        <v>47</v>
      </c>
      <c r="C31" s="24" t="s">
        <v>50</v>
      </c>
      <c r="D31" s="12" t="s">
        <v>47</v>
      </c>
      <c r="E31" s="12"/>
      <c r="F31" s="12"/>
      <c r="G31" s="12"/>
      <c r="H31" s="12"/>
      <c r="I31" s="12"/>
      <c r="J31" s="13" t="s">
        <v>49</v>
      </c>
      <c r="K31" s="13" t="s">
        <v>49</v>
      </c>
      <c r="L31" s="13" t="s">
        <v>49</v>
      </c>
      <c r="M31" s="21" t="e">
        <f t="shared" si="0"/>
        <v>#VALUE!</v>
      </c>
      <c r="N31" s="26"/>
      <c r="O31" s="13">
        <v>1</v>
      </c>
      <c r="P31" s="12"/>
      <c r="Q31" s="13">
        <v>1</v>
      </c>
      <c r="R31" s="17">
        <f t="shared" si="1"/>
        <v>1</v>
      </c>
      <c r="S31" s="26"/>
      <c r="T31" s="13">
        <v>1</v>
      </c>
      <c r="U31" s="12"/>
      <c r="V31" s="13">
        <v>1</v>
      </c>
      <c r="W31" s="17">
        <f t="shared" si="2"/>
        <v>1</v>
      </c>
      <c r="X31" s="18">
        <v>1</v>
      </c>
      <c r="Y31" s="19">
        <f t="shared" si="3"/>
        <v>3</v>
      </c>
      <c r="Z31" s="20" t="e">
        <f t="shared" si="4"/>
        <v>#VALUE!</v>
      </c>
      <c r="AA31" s="21" t="e">
        <f>#VALUE!</f>
        <v>#VALUE!</v>
      </c>
    </row>
    <row r="32" spans="1:27">
      <c r="A32" s="1"/>
      <c r="B32" s="12" t="s">
        <v>47</v>
      </c>
      <c r="C32" s="24" t="s">
        <v>51</v>
      </c>
      <c r="D32" s="12" t="s">
        <v>47</v>
      </c>
      <c r="E32" s="12"/>
      <c r="F32" s="12"/>
      <c r="G32" s="12"/>
      <c r="H32" s="12"/>
      <c r="I32" s="12"/>
      <c r="J32" s="13" t="s">
        <v>49</v>
      </c>
      <c r="K32" s="13" t="s">
        <v>49</v>
      </c>
      <c r="L32" s="13" t="s">
        <v>49</v>
      </c>
      <c r="M32" s="21" t="e">
        <f t="shared" si="0"/>
        <v>#VALUE!</v>
      </c>
      <c r="N32" s="26"/>
      <c r="O32" s="13">
        <v>1</v>
      </c>
      <c r="P32" s="12"/>
      <c r="Q32" s="13">
        <v>1</v>
      </c>
      <c r="R32" s="17">
        <f t="shared" si="1"/>
        <v>1</v>
      </c>
      <c r="S32" s="26"/>
      <c r="T32" s="13">
        <v>1</v>
      </c>
      <c r="U32" s="12"/>
      <c r="V32" s="13">
        <v>1</v>
      </c>
      <c r="W32" s="17">
        <f t="shared" si="2"/>
        <v>1</v>
      </c>
      <c r="X32" s="18">
        <v>1</v>
      </c>
      <c r="Y32" s="19">
        <f t="shared" si="3"/>
        <v>3</v>
      </c>
      <c r="Z32" s="20" t="e">
        <f t="shared" si="4"/>
        <v>#VALUE!</v>
      </c>
      <c r="AA32" s="21" t="e">
        <f>#VALUE!</f>
        <v>#VALUE!</v>
      </c>
    </row>
    <row r="33" spans="1:27" ht="100.8">
      <c r="A33" s="1"/>
      <c r="B33" s="10" t="s">
        <v>68</v>
      </c>
      <c r="C33" s="24" t="s">
        <v>53</v>
      </c>
      <c r="D33" s="10" t="s">
        <v>69</v>
      </c>
      <c r="E33" s="12"/>
      <c r="F33" s="12"/>
      <c r="G33" s="12"/>
      <c r="H33" s="12"/>
      <c r="I33" s="12"/>
      <c r="J33" s="13">
        <v>3</v>
      </c>
      <c r="K33" s="13">
        <v>2</v>
      </c>
      <c r="L33" s="13">
        <v>3</v>
      </c>
      <c r="M33" s="28">
        <f t="shared" si="0"/>
        <v>18</v>
      </c>
      <c r="N33" s="26" t="s">
        <v>44</v>
      </c>
      <c r="O33" s="13">
        <v>1</v>
      </c>
      <c r="P33" s="15" t="s">
        <v>70</v>
      </c>
      <c r="Q33" s="13">
        <v>0.5</v>
      </c>
      <c r="R33" s="17">
        <f t="shared" si="1"/>
        <v>0.5</v>
      </c>
      <c r="S33" s="15" t="s">
        <v>71</v>
      </c>
      <c r="T33" s="13">
        <v>0.5</v>
      </c>
      <c r="U33" s="16" t="s">
        <v>72</v>
      </c>
      <c r="V33" s="13">
        <v>0.5</v>
      </c>
      <c r="W33" s="17">
        <f t="shared" si="2"/>
        <v>0.25</v>
      </c>
      <c r="X33" s="18">
        <v>0.375</v>
      </c>
      <c r="Y33" s="19">
        <f t="shared" si="3"/>
        <v>1</v>
      </c>
      <c r="Z33" s="20">
        <f t="shared" si="4"/>
        <v>6.75</v>
      </c>
      <c r="AA33" s="21" t="s">
        <v>19</v>
      </c>
    </row>
    <row r="34" spans="1:27">
      <c r="A34" s="1"/>
      <c r="B34" s="12" t="s">
        <v>47</v>
      </c>
      <c r="C34" s="24" t="s">
        <v>54</v>
      </c>
      <c r="D34" s="12" t="s">
        <v>47</v>
      </c>
      <c r="E34" s="12"/>
      <c r="F34" s="12"/>
      <c r="G34" s="12"/>
      <c r="H34" s="12"/>
      <c r="I34" s="12"/>
      <c r="J34" s="13" t="s">
        <v>49</v>
      </c>
      <c r="K34" s="13" t="s">
        <v>49</v>
      </c>
      <c r="L34" s="13" t="s">
        <v>49</v>
      </c>
      <c r="M34" s="21" t="e">
        <f t="shared" si="0"/>
        <v>#VALUE!</v>
      </c>
      <c r="N34" s="26"/>
      <c r="O34" s="13">
        <v>1</v>
      </c>
      <c r="P34" s="12"/>
      <c r="Q34" s="13">
        <v>1</v>
      </c>
      <c r="R34" s="17">
        <f t="shared" si="1"/>
        <v>1</v>
      </c>
      <c r="S34" s="26"/>
      <c r="T34" s="13">
        <v>1</v>
      </c>
      <c r="U34" s="12"/>
      <c r="V34" s="13">
        <v>1</v>
      </c>
      <c r="W34" s="17">
        <f t="shared" si="2"/>
        <v>1</v>
      </c>
      <c r="X34" s="18">
        <v>1</v>
      </c>
      <c r="Y34" s="19">
        <f t="shared" si="3"/>
        <v>3</v>
      </c>
      <c r="Z34" s="20" t="e">
        <f t="shared" si="4"/>
        <v>#VALUE!</v>
      </c>
      <c r="AA34" s="21" t="e">
        <f>#VALUE!</f>
        <v>#VALUE!</v>
      </c>
    </row>
    <row r="35" spans="1:27">
      <c r="A35" s="1"/>
      <c r="B35" s="12" t="s">
        <v>47</v>
      </c>
      <c r="C35" s="24" t="s">
        <v>55</v>
      </c>
      <c r="D35" s="12" t="s">
        <v>47</v>
      </c>
      <c r="E35" s="12"/>
      <c r="F35" s="12"/>
      <c r="G35" s="12"/>
      <c r="H35" s="12"/>
      <c r="I35" s="12"/>
      <c r="J35" s="13" t="s">
        <v>49</v>
      </c>
      <c r="K35" s="13" t="s">
        <v>49</v>
      </c>
      <c r="L35" s="13" t="s">
        <v>49</v>
      </c>
      <c r="M35" s="21" t="e">
        <f t="shared" si="0"/>
        <v>#VALUE!</v>
      </c>
      <c r="N35" s="26"/>
      <c r="O35" s="13">
        <v>1</v>
      </c>
      <c r="P35" s="12"/>
      <c r="Q35" s="13">
        <v>1</v>
      </c>
      <c r="R35" s="17">
        <f t="shared" si="1"/>
        <v>1</v>
      </c>
      <c r="S35" s="26"/>
      <c r="T35" s="13">
        <v>1</v>
      </c>
      <c r="U35" s="12"/>
      <c r="V35" s="13">
        <v>1</v>
      </c>
      <c r="W35" s="17">
        <f t="shared" si="2"/>
        <v>1</v>
      </c>
      <c r="X35" s="18">
        <v>1</v>
      </c>
      <c r="Y35" s="19">
        <f t="shared" si="3"/>
        <v>3</v>
      </c>
      <c r="Z35" s="20" t="e">
        <f t="shared" si="4"/>
        <v>#VALUE!</v>
      </c>
      <c r="AA35" s="21" t="e">
        <f>#VALUE!</f>
        <v>#VALUE!</v>
      </c>
    </row>
    <row r="36" spans="1:27">
      <c r="A36" s="1"/>
      <c r="B36" s="12" t="s">
        <v>47</v>
      </c>
      <c r="C36" s="24" t="s">
        <v>56</v>
      </c>
      <c r="D36" s="12" t="s">
        <v>47</v>
      </c>
      <c r="E36" s="12"/>
      <c r="F36" s="12"/>
      <c r="G36" s="12"/>
      <c r="H36" s="12"/>
      <c r="I36" s="12"/>
      <c r="J36" s="13" t="s">
        <v>49</v>
      </c>
      <c r="K36" s="13" t="s">
        <v>49</v>
      </c>
      <c r="L36" s="13" t="s">
        <v>49</v>
      </c>
      <c r="M36" s="21" t="e">
        <f t="shared" si="0"/>
        <v>#VALUE!</v>
      </c>
      <c r="N36" s="26"/>
      <c r="O36" s="13">
        <v>1</v>
      </c>
      <c r="P36" s="12"/>
      <c r="Q36" s="13">
        <v>1</v>
      </c>
      <c r="R36" s="17">
        <f t="shared" si="1"/>
        <v>1</v>
      </c>
      <c r="S36" s="26"/>
      <c r="T36" s="13">
        <v>1</v>
      </c>
      <c r="U36" s="12"/>
      <c r="V36" s="13">
        <v>1</v>
      </c>
      <c r="W36" s="17">
        <f t="shared" si="2"/>
        <v>1</v>
      </c>
      <c r="X36" s="18">
        <v>1</v>
      </c>
      <c r="Y36" s="19">
        <f t="shared" si="3"/>
        <v>3</v>
      </c>
      <c r="Z36" s="20" t="e">
        <f t="shared" si="4"/>
        <v>#VALUE!</v>
      </c>
      <c r="AA36" s="21" t="e">
        <f>#VALUE!</f>
        <v>#VALUE!</v>
      </c>
    </row>
    <row r="37" spans="1:27">
      <c r="A37" s="1"/>
      <c r="B37" s="10" t="s">
        <v>47</v>
      </c>
      <c r="C37" s="24" t="s">
        <v>57</v>
      </c>
      <c r="D37" s="12" t="s">
        <v>47</v>
      </c>
      <c r="E37" s="10"/>
      <c r="F37" s="10"/>
      <c r="G37" s="12"/>
      <c r="H37" s="10"/>
      <c r="I37" s="12"/>
      <c r="J37" s="13" t="s">
        <v>49</v>
      </c>
      <c r="K37" s="13" t="s">
        <v>49</v>
      </c>
      <c r="L37" s="13" t="s">
        <v>49</v>
      </c>
      <c r="M37" s="21" t="e">
        <f t="shared" si="0"/>
        <v>#VALUE!</v>
      </c>
      <c r="N37" s="26"/>
      <c r="O37" s="13">
        <v>1</v>
      </c>
      <c r="P37" s="12"/>
      <c r="Q37" s="13">
        <v>1</v>
      </c>
      <c r="R37" s="17">
        <f t="shared" si="1"/>
        <v>1</v>
      </c>
      <c r="S37" s="23"/>
      <c r="T37" s="13">
        <v>1</v>
      </c>
      <c r="U37" s="10"/>
      <c r="V37" s="13">
        <v>1</v>
      </c>
      <c r="W37" s="17">
        <f t="shared" si="2"/>
        <v>1</v>
      </c>
      <c r="X37" s="18">
        <v>1</v>
      </c>
      <c r="Y37" s="19">
        <f t="shared" si="3"/>
        <v>3</v>
      </c>
      <c r="Z37" s="20" t="e">
        <f t="shared" si="4"/>
        <v>#VALUE!</v>
      </c>
      <c r="AA37" s="21" t="e">
        <f>#VALUE!</f>
        <v>#VALUE!</v>
      </c>
    </row>
    <row r="38" spans="1:27">
      <c r="A38" s="1"/>
      <c r="B38" s="12" t="s">
        <v>73</v>
      </c>
      <c r="C38" s="24" t="s">
        <v>58</v>
      </c>
      <c r="D38" s="12" t="s">
        <v>47</v>
      </c>
      <c r="E38" s="12"/>
      <c r="F38" s="12"/>
      <c r="G38" s="12"/>
      <c r="H38" s="12"/>
      <c r="I38" s="12"/>
      <c r="J38" s="13" t="s">
        <v>49</v>
      </c>
      <c r="K38" s="13" t="s">
        <v>49</v>
      </c>
      <c r="L38" s="13" t="s">
        <v>49</v>
      </c>
      <c r="M38" s="21" t="e">
        <f t="shared" si="0"/>
        <v>#VALUE!</v>
      </c>
      <c r="N38" s="26"/>
      <c r="O38" s="13">
        <v>1</v>
      </c>
      <c r="P38" s="12"/>
      <c r="Q38" s="13">
        <v>1</v>
      </c>
      <c r="R38" s="17">
        <f t="shared" si="1"/>
        <v>1</v>
      </c>
      <c r="S38" s="26"/>
      <c r="T38" s="13">
        <v>1</v>
      </c>
      <c r="U38" s="12"/>
      <c r="V38" s="13">
        <v>1</v>
      </c>
      <c r="W38" s="17">
        <f t="shared" si="2"/>
        <v>1</v>
      </c>
      <c r="X38" s="18">
        <v>1</v>
      </c>
      <c r="Y38" s="19">
        <f t="shared" si="3"/>
        <v>3</v>
      </c>
      <c r="Z38" s="20" t="e">
        <f t="shared" si="4"/>
        <v>#VALUE!</v>
      </c>
      <c r="AA38" s="21" t="e">
        <f>#VALUE!</f>
        <v>#VALUE!</v>
      </c>
    </row>
    <row r="39" spans="1:27">
      <c r="A39" s="1"/>
      <c r="B39" s="12" t="s">
        <v>47</v>
      </c>
      <c r="C39" s="24" t="s">
        <v>59</v>
      </c>
      <c r="D39" s="12" t="s">
        <v>47</v>
      </c>
      <c r="E39" s="12"/>
      <c r="F39" s="12"/>
      <c r="G39" s="12"/>
      <c r="H39" s="12"/>
      <c r="I39" s="12"/>
      <c r="J39" s="13" t="s">
        <v>49</v>
      </c>
      <c r="K39" s="13" t="s">
        <v>49</v>
      </c>
      <c r="L39" s="13" t="s">
        <v>49</v>
      </c>
      <c r="M39" s="21" t="e">
        <f t="shared" si="0"/>
        <v>#VALUE!</v>
      </c>
      <c r="N39" s="26"/>
      <c r="O39" s="13">
        <v>1</v>
      </c>
      <c r="P39" s="12"/>
      <c r="Q39" s="13">
        <v>1</v>
      </c>
      <c r="R39" s="17">
        <f t="shared" si="1"/>
        <v>1</v>
      </c>
      <c r="S39" s="26"/>
      <c r="T39" s="13">
        <v>1</v>
      </c>
      <c r="U39" s="12"/>
      <c r="V39" s="13">
        <v>1</v>
      </c>
      <c r="W39" s="17">
        <f t="shared" si="2"/>
        <v>1</v>
      </c>
      <c r="X39" s="18">
        <v>1</v>
      </c>
      <c r="Y39" s="19">
        <f t="shared" si="3"/>
        <v>3</v>
      </c>
      <c r="Z39" s="20" t="e">
        <f t="shared" si="4"/>
        <v>#VALUE!</v>
      </c>
      <c r="AA39" s="21" t="e">
        <f>#VALUE!</f>
        <v>#VALUE!</v>
      </c>
    </row>
    <row r="40" spans="1:27" ht="115.2">
      <c r="A40" s="1"/>
      <c r="B40" s="12" t="s">
        <v>73</v>
      </c>
      <c r="C40" s="24" t="s">
        <v>60</v>
      </c>
      <c r="D40" s="10" t="s">
        <v>74</v>
      </c>
      <c r="E40" s="12"/>
      <c r="F40" s="12"/>
      <c r="G40" s="12"/>
      <c r="H40" s="12"/>
      <c r="I40" s="12"/>
      <c r="J40" s="13">
        <v>3</v>
      </c>
      <c r="K40" s="13">
        <v>2</v>
      </c>
      <c r="L40" s="13">
        <v>2</v>
      </c>
      <c r="M40" s="28">
        <f t="shared" si="0"/>
        <v>12</v>
      </c>
      <c r="N40" s="16" t="s">
        <v>75</v>
      </c>
      <c r="O40" s="13">
        <v>0.5</v>
      </c>
      <c r="P40" s="10" t="s">
        <v>44</v>
      </c>
      <c r="Q40" s="13">
        <v>1</v>
      </c>
      <c r="R40" s="17">
        <f t="shared" si="1"/>
        <v>0.5</v>
      </c>
      <c r="S40" s="15" t="s">
        <v>76</v>
      </c>
      <c r="T40" s="13">
        <v>0.5</v>
      </c>
      <c r="U40" s="16" t="s">
        <v>77</v>
      </c>
      <c r="V40" s="13">
        <v>0.5</v>
      </c>
      <c r="W40" s="17">
        <f t="shared" si="2"/>
        <v>0.25</v>
      </c>
      <c r="X40" s="18">
        <v>0.375</v>
      </c>
      <c r="Y40" s="19">
        <f t="shared" si="3"/>
        <v>1</v>
      </c>
      <c r="Z40" s="20">
        <f t="shared" si="4"/>
        <v>4.5</v>
      </c>
      <c r="AA40" s="21" t="s">
        <v>19</v>
      </c>
    </row>
    <row r="41" spans="1:27">
      <c r="A41" s="1"/>
      <c r="B41" s="12" t="s">
        <v>47</v>
      </c>
      <c r="C41" s="24" t="s">
        <v>61</v>
      </c>
      <c r="D41" s="12"/>
      <c r="E41" s="12"/>
      <c r="F41" s="12"/>
      <c r="G41" s="12"/>
      <c r="H41" s="12"/>
      <c r="I41" s="12"/>
      <c r="J41" s="13" t="s">
        <v>49</v>
      </c>
      <c r="K41" s="13" t="s">
        <v>49</v>
      </c>
      <c r="L41" s="13" t="s">
        <v>49</v>
      </c>
      <c r="M41" s="21" t="e">
        <f t="shared" si="0"/>
        <v>#VALUE!</v>
      </c>
      <c r="N41" s="26"/>
      <c r="O41" s="13">
        <v>1</v>
      </c>
      <c r="P41" s="12"/>
      <c r="Q41" s="13">
        <v>1</v>
      </c>
      <c r="R41" s="17">
        <f t="shared" si="1"/>
        <v>1</v>
      </c>
      <c r="S41" s="26"/>
      <c r="T41" s="13">
        <v>1</v>
      </c>
      <c r="U41" s="12"/>
      <c r="V41" s="13">
        <v>1</v>
      </c>
      <c r="W41" s="17">
        <f t="shared" si="2"/>
        <v>1</v>
      </c>
      <c r="X41" s="18">
        <v>1</v>
      </c>
      <c r="Y41" s="19">
        <f t="shared" si="3"/>
        <v>3</v>
      </c>
      <c r="Z41" s="20" t="e">
        <f t="shared" si="4"/>
        <v>#VALUE!</v>
      </c>
      <c r="AA41" s="21" t="e">
        <f>#VALUE!</f>
        <v>#VALUE!</v>
      </c>
    </row>
    <row r="42" spans="1:27">
      <c r="A42" s="1"/>
      <c r="B42" s="12" t="s">
        <v>67</v>
      </c>
      <c r="C42" s="24" t="s">
        <v>63</v>
      </c>
      <c r="D42" s="12"/>
      <c r="E42" s="12"/>
      <c r="F42" s="12"/>
      <c r="G42" s="12"/>
      <c r="H42" s="12"/>
      <c r="I42" s="12"/>
      <c r="J42" s="13" t="s">
        <v>49</v>
      </c>
      <c r="K42" s="13" t="s">
        <v>49</v>
      </c>
      <c r="L42" s="13" t="s">
        <v>49</v>
      </c>
      <c r="M42" s="21" t="e">
        <f t="shared" si="0"/>
        <v>#VALUE!</v>
      </c>
      <c r="N42" s="26"/>
      <c r="O42" s="13">
        <v>1</v>
      </c>
      <c r="P42" s="12"/>
      <c r="Q42" s="13">
        <v>1</v>
      </c>
      <c r="R42" s="17">
        <f t="shared" si="1"/>
        <v>1</v>
      </c>
      <c r="S42" s="26"/>
      <c r="T42" s="13">
        <v>1</v>
      </c>
      <c r="U42" s="12"/>
      <c r="V42" s="13">
        <v>1</v>
      </c>
      <c r="W42" s="17">
        <f t="shared" si="2"/>
        <v>1</v>
      </c>
      <c r="X42" s="18">
        <v>1</v>
      </c>
      <c r="Y42" s="19">
        <f t="shared" si="3"/>
        <v>3</v>
      </c>
      <c r="Z42" s="20" t="e">
        <f t="shared" si="4"/>
        <v>#VALUE!</v>
      </c>
      <c r="AA42" s="21" t="e">
        <f>#VALUE!</f>
        <v>#VALUE!</v>
      </c>
    </row>
    <row r="43" spans="1:27">
      <c r="A43" s="1"/>
      <c r="B43" s="12" t="s">
        <v>47</v>
      </c>
      <c r="C43" s="24" t="s">
        <v>65</v>
      </c>
      <c r="D43" s="12"/>
      <c r="E43" s="12"/>
      <c r="F43" s="12"/>
      <c r="G43" s="12"/>
      <c r="H43" s="12"/>
      <c r="I43" s="12"/>
      <c r="J43" s="13" t="s">
        <v>49</v>
      </c>
      <c r="K43" s="13" t="s">
        <v>49</v>
      </c>
      <c r="L43" s="13" t="s">
        <v>49</v>
      </c>
      <c r="M43" s="21" t="e">
        <f t="shared" si="0"/>
        <v>#VALUE!</v>
      </c>
      <c r="N43" s="26"/>
      <c r="O43" s="13">
        <v>1</v>
      </c>
      <c r="P43" s="12"/>
      <c r="Q43" s="13">
        <v>1</v>
      </c>
      <c r="R43" s="17">
        <f t="shared" si="1"/>
        <v>1</v>
      </c>
      <c r="S43" s="26"/>
      <c r="T43" s="13">
        <v>1</v>
      </c>
      <c r="U43" s="12"/>
      <c r="V43" s="13">
        <v>1</v>
      </c>
      <c r="W43" s="17">
        <f t="shared" si="2"/>
        <v>1</v>
      </c>
      <c r="X43" s="18">
        <v>1</v>
      </c>
      <c r="Y43" s="19">
        <f t="shared" si="3"/>
        <v>3</v>
      </c>
      <c r="Z43" s="20" t="e">
        <f t="shared" si="4"/>
        <v>#VALUE!</v>
      </c>
      <c r="AA43" s="21" t="e">
        <f>#VALUE!</f>
        <v>#VALUE!</v>
      </c>
    </row>
    <row r="45" spans="1:27">
      <c r="A45" s="29" t="s">
        <v>78</v>
      </c>
    </row>
  </sheetData>
  <mergeCells count="27">
    <mergeCell ref="A29:A43"/>
    <mergeCell ref="N11:Q11"/>
    <mergeCell ref="R11:R12"/>
    <mergeCell ref="S11:V11"/>
    <mergeCell ref="W11:W12"/>
    <mergeCell ref="A13:A28"/>
    <mergeCell ref="H11:H12"/>
    <mergeCell ref="I11:I12"/>
    <mergeCell ref="J11:J12"/>
    <mergeCell ref="K11:K12"/>
    <mergeCell ref="L11:L12"/>
    <mergeCell ref="A1:AA3"/>
    <mergeCell ref="A6:B6"/>
    <mergeCell ref="B10:B12"/>
    <mergeCell ref="C10:C12"/>
    <mergeCell ref="D10:D12"/>
    <mergeCell ref="E10:I10"/>
    <mergeCell ref="J10:L10"/>
    <mergeCell ref="M10:M12"/>
    <mergeCell ref="N10:W10"/>
    <mergeCell ref="X10:X12"/>
    <mergeCell ref="Y10:Y12"/>
    <mergeCell ref="Z10:Z12"/>
    <mergeCell ref="AA10:AA12"/>
    <mergeCell ref="E11:E12"/>
    <mergeCell ref="F11:F12"/>
    <mergeCell ref="G11:G12"/>
  </mergeCells>
  <conditionalFormatting sqref="L13:L43">
    <cfRule type="cellIs" dxfId="14" priority="16" operator="greaterThanOrEqual">
      <formula>4</formula>
    </cfRule>
  </conditionalFormatting>
  <conditionalFormatting sqref="R13:R43">
    <cfRule type="cellIs" dxfId="13" priority="6" operator="equal">
      <formula>1</formula>
    </cfRule>
    <cfRule type="cellIs" dxfId="12" priority="7" operator="lessThanOrEqual">
      <formula>0.5</formula>
    </cfRule>
    <cfRule type="cellIs" dxfId="11" priority="8" operator="greaterThan">
      <formula>1</formula>
    </cfRule>
    <cfRule type="cellIs" dxfId="10" priority="9" operator="between">
      <formula>0.56</formula>
      <formula>0.88</formula>
    </cfRule>
  </conditionalFormatting>
  <conditionalFormatting sqref="W13:W43">
    <cfRule type="cellIs" dxfId="9" priority="2" operator="equal">
      <formula>1</formula>
    </cfRule>
    <cfRule type="cellIs" dxfId="8" priority="3" operator="between">
      <formula>0.5</formula>
      <formula>0.88</formula>
    </cfRule>
    <cfRule type="cellIs" dxfId="7" priority="4" operator="lessThanOrEqual">
      <formula>0.5</formula>
    </cfRule>
    <cfRule type="cellIs" dxfId="6" priority="5" operator="greaterThan">
      <formula>1</formula>
    </cfRule>
  </conditionalFormatting>
  <conditionalFormatting sqref="Y13:Y43">
    <cfRule type="containsText" dxfId="5" priority="10" operator="containsText" text="1">
      <formula>NOT(ISERROR(SEARCH("1",Y13)))</formula>
    </cfRule>
    <cfRule type="containsText" dxfId="4" priority="11" operator="containsText" text="2">
      <formula>NOT(ISERROR(SEARCH("2",Y13)))</formula>
    </cfRule>
    <cfRule type="containsText" dxfId="3" priority="12" operator="containsText" text="3">
      <formula>NOT(ISERROR(SEARCH("3",Y13)))</formula>
    </cfRule>
  </conditionalFormatting>
  <conditionalFormatting sqref="AA13:AA43">
    <cfRule type="containsText" dxfId="2" priority="13" operator="containsText" text="E">
      <formula>NOT(ISERROR(SEARCH("E",AA13)))</formula>
    </cfRule>
    <cfRule type="containsText" dxfId="1" priority="14" operator="containsText" text="M">
      <formula>NOT(ISERROR(SEARCH("M",AA13)))</formula>
    </cfRule>
    <cfRule type="containsText" dxfId="0" priority="15" operator="containsText" text="F">
      <formula>NOT(ISERROR(SEARCH("F",AA13)))</formula>
    </cfRule>
  </conditionalFormatting>
  <pageMargins left="0.31496062992125984" right="0.31496062992125984" top="0.39370078740157483" bottom="0.39370078740157483" header="0.51181102362204722" footer="0.51181102362204722"/>
  <pageSetup paperSize="8" scale="53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</dc:creator>
  <dc:description/>
  <cp:lastModifiedBy>jean Peyrucq</cp:lastModifiedBy>
  <cp:revision>0</cp:revision>
  <dcterms:created xsi:type="dcterms:W3CDTF">2015-06-05T18:19:34Z</dcterms:created>
  <dcterms:modified xsi:type="dcterms:W3CDTF">2026-07-26T14:01:58Z</dcterms:modified>
  <dc:language>en-US</dc:language>
</cp:coreProperties>
</file>