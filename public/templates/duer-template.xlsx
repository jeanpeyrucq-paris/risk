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S:\GWS_Rueil_Malmaison\Groups\08_QHSE_PUBLIC\RASS - Document Unique\2026\"/>
    </mc:Choice>
  </mc:AlternateContent>
  <xr:revisionPtr revIDLastSave="0" documentId="13_ncr:1_{0954C2F6-A1B1-4571-9285-787291972709}" xr6:coauthVersionLast="47" xr6:coauthVersionMax="47" xr10:uidLastSave="{00000000-0000-0000-0000-000000000000}"/>
  <bookViews>
    <workbookView xWindow="-120" yWindow="-16320" windowWidth="29040" windowHeight="15720" tabRatio="591" activeTab="1" xr2:uid="{B210EA16-860B-4126-B233-A3F3E589FCCD}"/>
  </bookViews>
  <sheets>
    <sheet name="Page de garde" sheetId="4" r:id="rId1"/>
    <sheet name="Risk Register" sheetId="1" r:id="rId2"/>
    <sheet name="Cotation" sheetId="2" r:id="rId3"/>
  </sheets>
  <definedNames>
    <definedName name="_xlnm._FilterDatabase" localSheetId="1" hidden="1">'Risk Register'!$A$9:$AR$101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66" i="1" l="1"/>
  <c r="U66" i="1"/>
  <c r="V66" i="1" s="1"/>
  <c r="AE66" i="1"/>
  <c r="AF66" i="1" s="1"/>
  <c r="S86" i="1"/>
  <c r="U86" i="1"/>
  <c r="AG86" i="1" s="1"/>
  <c r="AE95" i="1"/>
  <c r="S95" i="1"/>
  <c r="U95" i="1"/>
  <c r="AG95" i="1" s="1"/>
  <c r="U21" i="1"/>
  <c r="S21" i="1"/>
  <c r="AE21" i="1"/>
  <c r="AE101" i="1"/>
  <c r="U101" i="1"/>
  <c r="S101" i="1"/>
  <c r="S77" i="1"/>
  <c r="U77" i="1"/>
  <c r="AE77" i="1"/>
  <c r="AE69" i="1"/>
  <c r="U69" i="1"/>
  <c r="S69" i="1"/>
  <c r="AE100" i="1"/>
  <c r="U100" i="1"/>
  <c r="S100" i="1"/>
  <c r="AE99" i="1"/>
  <c r="U99" i="1"/>
  <c r="S99" i="1"/>
  <c r="S62" i="1"/>
  <c r="U62" i="1"/>
  <c r="AE16" i="1"/>
  <c r="S16" i="1"/>
  <c r="AE18" i="1"/>
  <c r="U18" i="1"/>
  <c r="S18" i="1"/>
  <c r="AE98" i="1"/>
  <c r="AF77" i="1" l="1"/>
  <c r="AG66" i="1"/>
  <c r="V95" i="1"/>
  <c r="V86" i="1"/>
  <c r="AF18" i="1"/>
  <c r="AF69" i="1"/>
  <c r="V21" i="1"/>
  <c r="AF21" i="1"/>
  <c r="V77" i="1"/>
  <c r="V62" i="1"/>
  <c r="AG77" i="1"/>
  <c r="V101" i="1"/>
  <c r="AF101" i="1"/>
  <c r="AG101" i="1" s="1"/>
  <c r="AG69" i="1"/>
  <c r="V69" i="1"/>
  <c r="AF100" i="1"/>
  <c r="AG100" i="1" s="1"/>
  <c r="V100" i="1"/>
  <c r="AF99" i="1"/>
  <c r="AG99" i="1" s="1"/>
  <c r="V99" i="1"/>
  <c r="V16" i="1"/>
  <c r="AF16" i="1"/>
  <c r="AG16" i="1" s="1"/>
  <c r="S63" i="1" l="1"/>
  <c r="U63" i="1"/>
  <c r="AE63" i="1"/>
  <c r="S97" i="1"/>
  <c r="U97" i="1"/>
  <c r="AE97" i="1"/>
  <c r="AE94" i="1"/>
  <c r="AE96" i="1"/>
  <c r="U94" i="1"/>
  <c r="U96" i="1"/>
  <c r="S94" i="1"/>
  <c r="S96" i="1"/>
  <c r="S93" i="1"/>
  <c r="V98" i="1" l="1"/>
  <c r="AF63" i="1"/>
  <c r="AG63" i="1" s="1"/>
  <c r="V63" i="1"/>
  <c r="V97" i="1"/>
  <c r="AF97" i="1"/>
  <c r="V96" i="1"/>
  <c r="AF96" i="1"/>
  <c r="AG96" i="1" s="1"/>
  <c r="AF94" i="1"/>
  <c r="AG94" i="1" s="1"/>
  <c r="V94" i="1"/>
  <c r="AG97" i="1" l="1"/>
  <c r="AG98" i="1"/>
  <c r="S92" i="1"/>
  <c r="U92" i="1"/>
  <c r="AE92" i="1"/>
  <c r="U93" i="1"/>
  <c r="V93" i="1" s="1"/>
  <c r="AE93" i="1"/>
  <c r="AF93" i="1" s="1"/>
  <c r="B6" i="1"/>
  <c r="B4" i="1"/>
  <c r="AE54" i="1"/>
  <c r="AE46" i="1"/>
  <c r="AE47" i="1"/>
  <c r="AG93" i="1" l="1"/>
  <c r="V92" i="1"/>
  <c r="AF92" i="1"/>
  <c r="AG92" i="1" s="1"/>
  <c r="AE75" i="1"/>
  <c r="U75" i="1"/>
  <c r="S75" i="1"/>
  <c r="AE73" i="1"/>
  <c r="S73" i="1"/>
  <c r="U73" i="1"/>
  <c r="U76" i="1"/>
  <c r="U78" i="1"/>
  <c r="U79" i="1"/>
  <c r="AG79" i="1" s="1"/>
  <c r="U80" i="1"/>
  <c r="AG80" i="1" s="1"/>
  <c r="U81" i="1"/>
  <c r="AG81" i="1" s="1"/>
  <c r="U82" i="1"/>
  <c r="AG82" i="1" s="1"/>
  <c r="U83" i="1"/>
  <c r="AG83" i="1" s="1"/>
  <c r="U84" i="1"/>
  <c r="AG84" i="1" s="1"/>
  <c r="U85" i="1"/>
  <c r="AG85" i="1" s="1"/>
  <c r="U87" i="1"/>
  <c r="AG87" i="1" s="1"/>
  <c r="U88" i="1"/>
  <c r="AG88" i="1" s="1"/>
  <c r="U89" i="1"/>
  <c r="AG89" i="1" s="1"/>
  <c r="U90" i="1"/>
  <c r="AG90" i="1" s="1"/>
  <c r="U91" i="1"/>
  <c r="S74" i="1"/>
  <c r="S76" i="1"/>
  <c r="S78" i="1"/>
  <c r="S79" i="1"/>
  <c r="S80" i="1"/>
  <c r="S81" i="1"/>
  <c r="S82" i="1"/>
  <c r="S83" i="1"/>
  <c r="S84" i="1"/>
  <c r="S85" i="1"/>
  <c r="S87" i="1"/>
  <c r="S88" i="1"/>
  <c r="S89" i="1"/>
  <c r="S90" i="1"/>
  <c r="S91" i="1"/>
  <c r="AE91" i="1"/>
  <c r="AE41" i="1"/>
  <c r="AE42" i="1"/>
  <c r="AE43" i="1"/>
  <c r="U41" i="1"/>
  <c r="U42" i="1"/>
  <c r="U43" i="1"/>
  <c r="S41" i="1"/>
  <c r="S42" i="1"/>
  <c r="S43" i="1"/>
  <c r="AI4" i="1"/>
  <c r="U10" i="1"/>
  <c r="U11" i="1"/>
  <c r="AG21" i="1" s="1"/>
  <c r="O4" i="1"/>
  <c r="AI6" i="1"/>
  <c r="V75" i="1" l="1"/>
  <c r="AF75" i="1"/>
  <c r="AG75" i="1" s="1"/>
  <c r="V73" i="1"/>
  <c r="AF73" i="1"/>
  <c r="AG73" i="1" s="1"/>
  <c r="V81" i="1"/>
  <c r="V84" i="1"/>
  <c r="V88" i="1"/>
  <c r="V90" i="1"/>
  <c r="V89" i="1"/>
  <c r="V82" i="1"/>
  <c r="V91" i="1"/>
  <c r="V87" i="1"/>
  <c r="V85" i="1"/>
  <c r="V83" i="1"/>
  <c r="V79" i="1"/>
  <c r="V80" i="1"/>
  <c r="V42" i="1"/>
  <c r="V43" i="1"/>
  <c r="AF43" i="1"/>
  <c r="AG43" i="1" s="1"/>
  <c r="AF41" i="1"/>
  <c r="AG41" i="1" s="1"/>
  <c r="AF91" i="1"/>
  <c r="AG91" i="1" s="1"/>
  <c r="AF42" i="1"/>
  <c r="AG42" i="1" s="1"/>
  <c r="V41" i="1"/>
  <c r="S10" i="1"/>
  <c r="S68" i="1"/>
  <c r="U68" i="1"/>
  <c r="AE68" i="1"/>
  <c r="S70" i="1"/>
  <c r="U70" i="1"/>
  <c r="AE70" i="1"/>
  <c r="S71" i="1"/>
  <c r="U71" i="1"/>
  <c r="AE71" i="1"/>
  <c r="S72" i="1"/>
  <c r="U72" i="1"/>
  <c r="AE72" i="1"/>
  <c r="U74" i="1"/>
  <c r="AE74" i="1"/>
  <c r="AF74" i="1" s="1"/>
  <c r="AE76" i="1"/>
  <c r="AE78" i="1"/>
  <c r="V10" i="1" l="1"/>
  <c r="V71" i="1"/>
  <c r="AF72" i="1"/>
  <c r="AG72" i="1" s="1"/>
  <c r="AF78" i="1"/>
  <c r="AG78" i="1" s="1"/>
  <c r="V78" i="1"/>
  <c r="AG74" i="1"/>
  <c r="V70" i="1"/>
  <c r="V74" i="1"/>
  <c r="AF70" i="1"/>
  <c r="AG70" i="1" s="1"/>
  <c r="AF71" i="1"/>
  <c r="AG71" i="1" s="1"/>
  <c r="V76" i="1"/>
  <c r="V72" i="1"/>
  <c r="V68" i="1"/>
  <c r="AF68" i="1"/>
  <c r="AG68" i="1" s="1"/>
  <c r="AF76" i="1"/>
  <c r="AG76" i="1" s="1"/>
  <c r="S23" i="1" l="1"/>
  <c r="S31" i="1" l="1"/>
  <c r="U31" i="1"/>
  <c r="AE31" i="1"/>
  <c r="S32" i="1"/>
  <c r="U32" i="1"/>
  <c r="AE32" i="1"/>
  <c r="S33" i="1"/>
  <c r="U33" i="1"/>
  <c r="AE33" i="1"/>
  <c r="S34" i="1"/>
  <c r="U34" i="1"/>
  <c r="AE34" i="1"/>
  <c r="S35" i="1"/>
  <c r="U35" i="1"/>
  <c r="AE35" i="1"/>
  <c r="S36" i="1"/>
  <c r="U36" i="1"/>
  <c r="AE36" i="1"/>
  <c r="S37" i="1"/>
  <c r="U37" i="1"/>
  <c r="AE37" i="1"/>
  <c r="S38" i="1"/>
  <c r="U38" i="1"/>
  <c r="AE38" i="1"/>
  <c r="S39" i="1"/>
  <c r="U39" i="1"/>
  <c r="AE39" i="1"/>
  <c r="S40" i="1"/>
  <c r="U40" i="1"/>
  <c r="AE40" i="1"/>
  <c r="S44" i="1"/>
  <c r="U44" i="1"/>
  <c r="AE44" i="1"/>
  <c r="S45" i="1"/>
  <c r="U45" i="1"/>
  <c r="AE45" i="1"/>
  <c r="S46" i="1"/>
  <c r="AF46" i="1" s="1"/>
  <c r="U46" i="1"/>
  <c r="S47" i="1"/>
  <c r="AF47" i="1" s="1"/>
  <c r="U47" i="1"/>
  <c r="S48" i="1"/>
  <c r="U48" i="1"/>
  <c r="AE48" i="1"/>
  <c r="S49" i="1"/>
  <c r="U49" i="1"/>
  <c r="AE49" i="1"/>
  <c r="S50" i="1"/>
  <c r="U50" i="1"/>
  <c r="AE50" i="1"/>
  <c r="S51" i="1"/>
  <c r="U51" i="1"/>
  <c r="AE51" i="1"/>
  <c r="S52" i="1"/>
  <c r="U52" i="1"/>
  <c r="AE52" i="1"/>
  <c r="S53" i="1"/>
  <c r="U53" i="1"/>
  <c r="AE53" i="1"/>
  <c r="S54" i="1"/>
  <c r="AF54" i="1" s="1"/>
  <c r="U54" i="1"/>
  <c r="S55" i="1"/>
  <c r="U55" i="1"/>
  <c r="AE55" i="1"/>
  <c r="S56" i="1"/>
  <c r="U56" i="1"/>
  <c r="AE56" i="1"/>
  <c r="S57" i="1"/>
  <c r="U57" i="1"/>
  <c r="AE57" i="1"/>
  <c r="S58" i="1"/>
  <c r="U58" i="1"/>
  <c r="AE58" i="1"/>
  <c r="S59" i="1"/>
  <c r="U59" i="1"/>
  <c r="AE59" i="1"/>
  <c r="S60" i="1"/>
  <c r="U60" i="1"/>
  <c r="AE60" i="1"/>
  <c r="S61" i="1"/>
  <c r="U61" i="1"/>
  <c r="AE61" i="1"/>
  <c r="S64" i="1"/>
  <c r="U64" i="1"/>
  <c r="AE64" i="1"/>
  <c r="S65" i="1"/>
  <c r="U65" i="1"/>
  <c r="AE65" i="1"/>
  <c r="S67" i="1"/>
  <c r="U67" i="1"/>
  <c r="AE67" i="1"/>
  <c r="AE13" i="1"/>
  <c r="AE15" i="1"/>
  <c r="AE22" i="1"/>
  <c r="AE12" i="1"/>
  <c r="AE17" i="1"/>
  <c r="AE14" i="1"/>
  <c r="AE23" i="1"/>
  <c r="AF23" i="1" s="1"/>
  <c r="AE19" i="1"/>
  <c r="AE24" i="1"/>
  <c r="AE25" i="1"/>
  <c r="AE26" i="1"/>
  <c r="AE27" i="1"/>
  <c r="AE28" i="1"/>
  <c r="AE29" i="1"/>
  <c r="AE30" i="1"/>
  <c r="AE10" i="1"/>
  <c r="AF10" i="1" s="1"/>
  <c r="AG10" i="1" s="1"/>
  <c r="U15" i="1"/>
  <c r="U13" i="1"/>
  <c r="U22" i="1"/>
  <c r="U12" i="1"/>
  <c r="U17" i="1"/>
  <c r="U14" i="1"/>
  <c r="U23" i="1"/>
  <c r="U19" i="1"/>
  <c r="U24" i="1"/>
  <c r="U25" i="1"/>
  <c r="U26" i="1"/>
  <c r="U27" i="1"/>
  <c r="U28" i="1"/>
  <c r="U29" i="1"/>
  <c r="U30" i="1"/>
  <c r="S15" i="1"/>
  <c r="S13" i="1"/>
  <c r="S22" i="1"/>
  <c r="S12" i="1"/>
  <c r="S17" i="1"/>
  <c r="S14" i="1"/>
  <c r="S19" i="1"/>
  <c r="S24" i="1"/>
  <c r="S25" i="1"/>
  <c r="S26" i="1"/>
  <c r="S27" i="1"/>
  <c r="S28" i="1"/>
  <c r="S29" i="1"/>
  <c r="S30" i="1"/>
  <c r="AE11" i="1"/>
  <c r="AE20" i="1"/>
  <c r="S20" i="1"/>
  <c r="U20" i="1"/>
  <c r="S11" i="1"/>
  <c r="V11" i="1" s="1"/>
  <c r="AG18" i="1" l="1"/>
  <c r="V18" i="1"/>
  <c r="V12" i="1"/>
  <c r="AG47" i="1"/>
  <c r="AG54" i="1"/>
  <c r="AG46" i="1"/>
  <c r="V14" i="1"/>
  <c r="V13" i="1"/>
  <c r="V29" i="1"/>
  <c r="AF34" i="1"/>
  <c r="AG34" i="1" s="1"/>
  <c r="V30" i="1"/>
  <c r="AF38" i="1"/>
  <c r="AG38" i="1" s="1"/>
  <c r="AF32" i="1"/>
  <c r="AG32" i="1" s="1"/>
  <c r="V25" i="1"/>
  <c r="V24" i="1"/>
  <c r="V28" i="1"/>
  <c r="V27" i="1"/>
  <c r="AF48" i="1"/>
  <c r="AG48" i="1" s="1"/>
  <c r="AF61" i="1"/>
  <c r="AG61" i="1" s="1"/>
  <c r="V19" i="1"/>
  <c r="AF64" i="1"/>
  <c r="AG64" i="1" s="1"/>
  <c r="AF57" i="1"/>
  <c r="AG57" i="1" s="1"/>
  <c r="AF53" i="1"/>
  <c r="AG53" i="1" s="1"/>
  <c r="AF40" i="1"/>
  <c r="AG40" i="1" s="1"/>
  <c r="AF56" i="1"/>
  <c r="AG56" i="1" s="1"/>
  <c r="V67" i="1"/>
  <c r="AF51" i="1"/>
  <c r="AG51" i="1" s="1"/>
  <c r="AF37" i="1"/>
  <c r="AG37" i="1" s="1"/>
  <c r="V17" i="1"/>
  <c r="AF29" i="1"/>
  <c r="AG29" i="1" s="1"/>
  <c r="AF67" i="1"/>
  <c r="AG67" i="1" s="1"/>
  <c r="V46" i="1"/>
  <c r="V54" i="1"/>
  <c r="AG23" i="1"/>
  <c r="V31" i="1"/>
  <c r="AF14" i="1"/>
  <c r="AG14" i="1" s="1"/>
  <c r="V40" i="1"/>
  <c r="AF35" i="1"/>
  <c r="AG35" i="1" s="1"/>
  <c r="AF19" i="1"/>
  <c r="AG19" i="1" s="1"/>
  <c r="V59" i="1"/>
  <c r="V22" i="1"/>
  <c r="V15" i="1"/>
  <c r="AF11" i="1"/>
  <c r="AG11" i="1" s="1"/>
  <c r="V32" i="1"/>
  <c r="V36" i="1"/>
  <c r="AF30" i="1"/>
  <c r="AG30" i="1" s="1"/>
  <c r="V61" i="1"/>
  <c r="AF52" i="1"/>
  <c r="AG52" i="1" s="1"/>
  <c r="V52" i="1"/>
  <c r="AF20" i="1"/>
  <c r="AG20" i="1" s="1"/>
  <c r="V47" i="1"/>
  <c r="V26" i="1"/>
  <c r="AF60" i="1"/>
  <c r="AG60" i="1" s="1"/>
  <c r="V60" i="1"/>
  <c r="AF28" i="1"/>
  <c r="AG28" i="1" s="1"/>
  <c r="AF59" i="1"/>
  <c r="AG59" i="1" s="1"/>
  <c r="V51" i="1"/>
  <c r="V39" i="1"/>
  <c r="V49" i="1"/>
  <c r="V53" i="1"/>
  <c r="V56" i="1"/>
  <c r="V35" i="1"/>
  <c r="AF27" i="1"/>
  <c r="AG27" i="1" s="1"/>
  <c r="V55" i="1"/>
  <c r="V45" i="1"/>
  <c r="AF33" i="1"/>
  <c r="AG33" i="1" s="1"/>
  <c r="V33" i="1"/>
  <c r="V64" i="1"/>
  <c r="AF15" i="1"/>
  <c r="AG15" i="1" s="1"/>
  <c r="AF26" i="1"/>
  <c r="AG26" i="1" s="1"/>
  <c r="V58" i="1"/>
  <c r="V20" i="1"/>
  <c r="AF44" i="1"/>
  <c r="AG44" i="1" s="1"/>
  <c r="V44" i="1"/>
  <c r="V57" i="1"/>
  <c r="AF25" i="1"/>
  <c r="AG25" i="1" s="1"/>
  <c r="V50" i="1"/>
  <c r="AF45" i="1"/>
  <c r="AG45" i="1" s="1"/>
  <c r="V34" i="1"/>
  <c r="AF13" i="1"/>
  <c r="AG13" i="1" s="1"/>
  <c r="V37" i="1"/>
  <c r="AF17" i="1"/>
  <c r="AG17" i="1" s="1"/>
  <c r="V48" i="1"/>
  <c r="V23" i="1"/>
  <c r="AF24" i="1"/>
  <c r="AG24" i="1" s="1"/>
  <c r="V65" i="1"/>
  <c r="AF58" i="1"/>
  <c r="AG58" i="1" s="1"/>
  <c r="AF49" i="1"/>
  <c r="AG49" i="1" s="1"/>
  <c r="V38" i="1"/>
  <c r="AF12" i="1"/>
  <c r="AG12" i="1" s="1"/>
  <c r="AF22" i="1"/>
  <c r="AG22" i="1" s="1"/>
  <c r="AF50" i="1"/>
  <c r="AG50" i="1" s="1"/>
  <c r="AF39" i="1"/>
  <c r="AG39" i="1" s="1"/>
  <c r="AF31" i="1"/>
  <c r="AG31" i="1" s="1"/>
  <c r="AF65" i="1"/>
  <c r="AG65" i="1" s="1"/>
  <c r="AF55" i="1"/>
  <c r="AG55" i="1" s="1"/>
  <c r="AF36" i="1"/>
  <c r="AG36" i="1" s="1"/>
</calcChain>
</file>

<file path=xl/sharedStrings.xml><?xml version="1.0" encoding="utf-8"?>
<sst xmlns="http://schemas.openxmlformats.org/spreadsheetml/2006/main" count="1560" uniqueCount="608">
  <si>
    <t>CBRE | EMEA | QHSE | Formulaire | RASSa - Evaluation des risques</t>
  </si>
  <si>
    <t xml:space="preserve">Evaluation des risques </t>
  </si>
  <si>
    <t>Nom du compte :</t>
  </si>
  <si>
    <t>CBRE GWS France SAS</t>
  </si>
  <si>
    <t>Adresse du site concerné :</t>
  </si>
  <si>
    <t xml:space="preserve">17 quai du Président Paul Doumer - 92400 COURBEVOIE </t>
  </si>
  <si>
    <t>Périmètre évalué :</t>
  </si>
  <si>
    <t>Maintenance multitechnique du bâtiment - coordination des entreprises sous-traitantes - Facility management - gestion de projet d'aménagement</t>
  </si>
  <si>
    <t>Unités de Travail (UT) : Groupement de personnes susceptibles d'être exposées au risque</t>
  </si>
  <si>
    <t xml:space="preserve">Cocher les unités de travail évalués </t>
  </si>
  <si>
    <t xml:space="preserve">UT 1 : </t>
  </si>
  <si>
    <t>Equipe administrative (Contract Support, RH, achat, finance, commerce)</t>
  </si>
  <si>
    <t>x</t>
  </si>
  <si>
    <t>UT 2 :</t>
  </si>
  <si>
    <t>Direction générale et opérationnelle (Directeur Général, Directeur Opérationnel, AGM, Responsable Multi-site)</t>
  </si>
  <si>
    <t>UT 3 :</t>
  </si>
  <si>
    <t>Responsables de site et coordinateurs soft - Contrats à dominante soft</t>
  </si>
  <si>
    <t>UT 4 :</t>
  </si>
  <si>
    <t>Responsables de site et coordinateurs techniques - Contrats à dominante technique</t>
  </si>
  <si>
    <t>UT 5 :</t>
  </si>
  <si>
    <t>Techniciens multitechniques</t>
  </si>
  <si>
    <t xml:space="preserve">UT 6 : </t>
  </si>
  <si>
    <t>Techniciens frigoristes</t>
  </si>
  <si>
    <t xml:space="preserve">UT 7 : </t>
  </si>
  <si>
    <t>Equipiers multi-services (Factotums, Handymans)</t>
  </si>
  <si>
    <t xml:space="preserve">UT 8 : </t>
  </si>
  <si>
    <t xml:space="preserve">Direction Projet / Technique et QHSE </t>
  </si>
  <si>
    <t xml:space="preserve">UT 9 : </t>
  </si>
  <si>
    <t>Sous-traitant</t>
  </si>
  <si>
    <t>Version</t>
  </si>
  <si>
    <t>Objet (contenu de la mise à jour)</t>
  </si>
  <si>
    <t>Nom de(s) l'évaluateur(s)</t>
  </si>
  <si>
    <t>Date de mise à jour</t>
  </si>
  <si>
    <t xml:space="preserve">Validation Manager </t>
  </si>
  <si>
    <t>V1</t>
  </si>
  <si>
    <t>Mise à jour du Document Unique d'Evaluation des Risques Professionnels</t>
  </si>
  <si>
    <t>Nicolas Bernard / Islem Resgui / Theo Rocca</t>
  </si>
  <si>
    <t>V2</t>
  </si>
  <si>
    <t xml:space="preserve">Présentation, mise à jour,validation </t>
  </si>
  <si>
    <t>Membres du CSSCT</t>
  </si>
  <si>
    <t>Document Unique d'Evaluation des Risques Professionnels</t>
  </si>
  <si>
    <t xml:space="preserve">Périmètre : </t>
  </si>
  <si>
    <t>Date de mise à jour :</t>
  </si>
  <si>
    <t xml:space="preserve">Par : </t>
  </si>
  <si>
    <t>Mesures de prévention applicables</t>
  </si>
  <si>
    <r>
      <rPr>
        <b/>
        <sz val="14"/>
        <color theme="1"/>
        <rFont val="Calibre"/>
        <family val="2"/>
      </rPr>
      <t>1.</t>
    </r>
    <r>
      <rPr>
        <sz val="11"/>
        <color theme="1"/>
        <rFont val="Calibre"/>
        <family val="2"/>
      </rPr>
      <t xml:space="preserve"> Sélectionner les principales opérations ou tâches effectuées sur site </t>
    </r>
  </si>
  <si>
    <r>
      <rPr>
        <b/>
        <sz val="14"/>
        <color theme="1"/>
        <rFont val="Calibre"/>
        <family val="2"/>
      </rPr>
      <t>2.</t>
    </r>
    <r>
      <rPr>
        <sz val="11"/>
        <color theme="1"/>
        <rFont val="Calibre"/>
        <family val="2"/>
      </rPr>
      <t xml:space="preserve"> Déterminer les tâches exécutées sur site</t>
    </r>
  </si>
  <si>
    <r>
      <rPr>
        <b/>
        <sz val="11"/>
        <color theme="1"/>
        <rFont val="Calibre"/>
        <family val="2"/>
      </rPr>
      <t>3</t>
    </r>
    <r>
      <rPr>
        <sz val="11"/>
        <color theme="1"/>
        <rFont val="Calibre"/>
        <family val="2"/>
      </rPr>
      <t>. unités de travail concernées</t>
    </r>
  </si>
  <si>
    <r>
      <rPr>
        <b/>
        <sz val="14"/>
        <color theme="1"/>
        <rFont val="Calibre"/>
        <family val="2"/>
      </rPr>
      <t xml:space="preserve">5.  </t>
    </r>
    <r>
      <rPr>
        <sz val="11"/>
        <color theme="1"/>
        <rFont val="Calibre"/>
        <family val="2"/>
      </rPr>
      <t xml:space="preserve">Quels sont les équipements concernés ? </t>
    </r>
  </si>
  <si>
    <r>
      <rPr>
        <b/>
        <sz val="14"/>
        <color theme="1"/>
        <rFont val="Calibre"/>
        <family val="2"/>
      </rPr>
      <t>6.</t>
    </r>
    <r>
      <rPr>
        <sz val="11"/>
        <color theme="1"/>
        <rFont val="Calibre"/>
        <family val="2"/>
      </rPr>
      <t xml:space="preserve"> Fonctionnement normal ou dégradé ? </t>
    </r>
  </si>
  <si>
    <r>
      <rPr>
        <b/>
        <sz val="14"/>
        <color theme="1"/>
        <rFont val="Calibre"/>
        <family val="2"/>
      </rPr>
      <t>7</t>
    </r>
    <r>
      <rPr>
        <sz val="14"/>
        <color theme="1"/>
        <rFont val="Calibre"/>
        <family val="2"/>
      </rPr>
      <t>.</t>
    </r>
    <r>
      <rPr>
        <sz val="11"/>
        <color theme="1"/>
        <rFont val="Calibre"/>
        <family val="2"/>
      </rPr>
      <t xml:space="preserve"> A quelle fréquence faites vous cette tâche ?  </t>
    </r>
  </si>
  <si>
    <r>
      <rPr>
        <b/>
        <sz val="14"/>
        <color theme="1"/>
        <rFont val="Calibre"/>
        <family val="2"/>
      </rPr>
      <t>8</t>
    </r>
    <r>
      <rPr>
        <sz val="14"/>
        <color theme="1"/>
        <rFont val="Calibre"/>
        <family val="2"/>
      </rPr>
      <t>.</t>
    </r>
    <r>
      <rPr>
        <sz val="11"/>
        <color theme="1"/>
        <rFont val="Calibre"/>
        <family val="2"/>
      </rPr>
      <t xml:space="preserve"> Probabilité qu'un accident survienne</t>
    </r>
  </si>
  <si>
    <r>
      <rPr>
        <b/>
        <sz val="14"/>
        <color theme="1"/>
        <rFont val="Calibre"/>
        <family val="2"/>
      </rPr>
      <t>9</t>
    </r>
    <r>
      <rPr>
        <sz val="14"/>
        <color theme="1"/>
        <rFont val="Calibre"/>
        <family val="2"/>
      </rPr>
      <t>.</t>
    </r>
    <r>
      <rPr>
        <sz val="11"/>
        <color theme="1"/>
        <rFont val="Calibre"/>
        <family val="2"/>
      </rPr>
      <t xml:space="preserve"> Gravité potentielle</t>
    </r>
  </si>
  <si>
    <t>Risque Brute</t>
  </si>
  <si>
    <r>
      <rPr>
        <b/>
        <sz val="14"/>
        <color theme="1"/>
        <rFont val="Calibre"/>
        <family val="2"/>
      </rPr>
      <t>10.</t>
    </r>
    <r>
      <rPr>
        <sz val="11"/>
        <color theme="1"/>
        <rFont val="Calibre"/>
        <family val="2"/>
      </rPr>
      <t xml:space="preserve"> Spécifier si des éléments de sécurité sont constitutifs de l'équipement</t>
    </r>
  </si>
  <si>
    <r>
      <rPr>
        <b/>
        <sz val="14"/>
        <color theme="1"/>
        <rFont val="Calibre"/>
        <family val="2"/>
      </rPr>
      <t>11.</t>
    </r>
    <r>
      <rPr>
        <sz val="11"/>
        <color theme="1"/>
        <rFont val="Calibre"/>
        <family val="2"/>
      </rPr>
      <t xml:space="preserve"> Y a-t-il une règle qui sauvent CBRE qui s'applique à cette tâche ? </t>
    </r>
  </si>
  <si>
    <r>
      <rPr>
        <b/>
        <sz val="14"/>
        <color theme="1"/>
        <rFont val="Calibre"/>
        <family val="2"/>
      </rPr>
      <t xml:space="preserve">12. </t>
    </r>
    <r>
      <rPr>
        <sz val="11"/>
        <color theme="1"/>
        <rFont val="Calibre"/>
        <family val="2"/>
      </rPr>
      <t xml:space="preserve">Quels sont les EPC et/ou EPI nécessaire pour effectuer cette tâche ? </t>
    </r>
  </si>
  <si>
    <t xml:space="preserve">En place ? </t>
  </si>
  <si>
    <r>
      <rPr>
        <b/>
        <sz val="14"/>
        <color theme="1"/>
        <rFont val="Calibre"/>
        <family val="2"/>
      </rPr>
      <t xml:space="preserve">13. </t>
    </r>
    <r>
      <rPr>
        <sz val="11"/>
        <color theme="1"/>
        <rFont val="Calibre"/>
        <family val="2"/>
      </rPr>
      <t xml:space="preserve">Faut-il avoir suivi des formations/habilitations pour exécuter cette tâche ? </t>
    </r>
  </si>
  <si>
    <r>
      <rPr>
        <b/>
        <sz val="14"/>
        <color theme="1"/>
        <rFont val="Calibre"/>
        <family val="2"/>
      </rPr>
      <t xml:space="preserve">14. </t>
    </r>
    <r>
      <rPr>
        <sz val="11"/>
        <color theme="1"/>
        <rFont val="Calibre"/>
        <family val="2"/>
      </rPr>
      <t xml:space="preserve">Y at-il des procédures / protocole à suivre  ? Lesquels ? </t>
    </r>
  </si>
  <si>
    <t xml:space="preserve">En place? </t>
  </si>
  <si>
    <t>Risque résiduel - le facteur humain</t>
  </si>
  <si>
    <t>Risque net</t>
  </si>
  <si>
    <r>
      <rPr>
        <b/>
        <sz val="14"/>
        <color theme="1"/>
        <rFont val="Calibre"/>
        <family val="2"/>
      </rPr>
      <t xml:space="preserve">15. </t>
    </r>
    <r>
      <rPr>
        <sz val="11"/>
        <color theme="1"/>
        <rFont val="Calibre"/>
        <family val="2"/>
      </rPr>
      <t xml:space="preserve">Des actions complémentaires sont-elles à prévoir ? Lesquelles ? </t>
    </r>
  </si>
  <si>
    <r>
      <rPr>
        <b/>
        <sz val="14"/>
        <color theme="1"/>
        <rFont val="Calibre"/>
        <family val="2"/>
      </rPr>
      <t>16.</t>
    </r>
    <r>
      <rPr>
        <sz val="11"/>
        <color theme="1"/>
        <rFont val="Calibre"/>
        <family val="2"/>
      </rPr>
      <t xml:space="preserve"> Autre chose ? </t>
    </r>
  </si>
  <si>
    <t>Principales opérations / tâches</t>
  </si>
  <si>
    <t xml:space="preserve">Facteur d'exposition </t>
  </si>
  <si>
    <t>UT 1 (adm)</t>
  </si>
  <si>
    <t>UT2 (DIR / AGM)</t>
  </si>
  <si>
    <t>UT3 (Coord Soft)</t>
  </si>
  <si>
    <t>UT4 (Coord Tech)</t>
  </si>
  <si>
    <t>UT5 (TECH)</t>
  </si>
  <si>
    <t>UT6 (Frigo)</t>
  </si>
  <si>
    <t>UT7 (Handyan)</t>
  </si>
  <si>
    <t>UT8 (PJM / DT QHSE)</t>
  </si>
  <si>
    <t>UT9 (SST)</t>
  </si>
  <si>
    <t>Risques</t>
  </si>
  <si>
    <t>Equipement</t>
  </si>
  <si>
    <t>Fonctionnement</t>
  </si>
  <si>
    <t>Fréquence d'exposition</t>
  </si>
  <si>
    <t>Probabilité</t>
  </si>
  <si>
    <t>Score H+I</t>
  </si>
  <si>
    <t>Gravité</t>
  </si>
  <si>
    <t>Score 1</t>
  </si>
  <si>
    <t>Risk Before Mitigation</t>
  </si>
  <si>
    <t xml:space="preserve">Mesures de conception </t>
  </si>
  <si>
    <t>Règles qui sauvent</t>
  </si>
  <si>
    <t>Equipement de protection collectif et individuel</t>
  </si>
  <si>
    <t>Formation spécifique</t>
  </si>
  <si>
    <t>Mesures organisationnelles</t>
  </si>
  <si>
    <t>Alea</t>
  </si>
  <si>
    <t>Score 2</t>
  </si>
  <si>
    <t>Risk After Mitigation</t>
  </si>
  <si>
    <t>Further risk treatments, controls, mitigation action</t>
  </si>
  <si>
    <t>Comment</t>
  </si>
  <si>
    <t>Travaux électriques</t>
  </si>
  <si>
    <t>Relamping</t>
  </si>
  <si>
    <t>Electrisation / électrocution</t>
  </si>
  <si>
    <t>Luminaire</t>
  </si>
  <si>
    <t>dégradé</t>
  </si>
  <si>
    <t>Mesure de conception des installations électriques selon norme NFC 15100</t>
  </si>
  <si>
    <t xml:space="preserve">Habilitation électrique niveau BS à minima </t>
  </si>
  <si>
    <t>Réarmement de disjoncteur</t>
  </si>
  <si>
    <t>Armoire électrique</t>
  </si>
  <si>
    <t>non</t>
  </si>
  <si>
    <t>Vêtement de travail 
Chaussures de sécurité
Gants 
Casque électricien</t>
  </si>
  <si>
    <t>Conduite de véhicule</t>
  </si>
  <si>
    <t>Circulation en voiture / camionnette</t>
  </si>
  <si>
    <t>Accident de la route</t>
  </si>
  <si>
    <t>VL</t>
  </si>
  <si>
    <t>Normal</t>
  </si>
  <si>
    <t xml:space="preserve">Sécurité intrinsinque des VL </t>
  </si>
  <si>
    <t>Sécurité des véhicules (ceinture de sécurité)</t>
  </si>
  <si>
    <t>Formation aux risques routiers</t>
  </si>
  <si>
    <t>Travaux administratifs</t>
  </si>
  <si>
    <t>Travail sur écran</t>
  </si>
  <si>
    <t xml:space="preserve">Fatigue visuelle / TMS </t>
  </si>
  <si>
    <t>Ordinateur / écran / caliver et souris</t>
  </si>
  <si>
    <t xml:space="preserve">Ergonomie des bureaux et chaise ergonomique </t>
  </si>
  <si>
    <t>Matériel bureautique ergonomique</t>
  </si>
  <si>
    <t>Non</t>
  </si>
  <si>
    <t>Manutention manuelle</t>
  </si>
  <si>
    <t>Ouverture de trappes et regards</t>
  </si>
  <si>
    <t>Coupure / ecrasement / TMS</t>
  </si>
  <si>
    <t>Trappes et regards</t>
  </si>
  <si>
    <t xml:space="preserve">Conception des trappes variable selon age matériaux et utilité </t>
  </si>
  <si>
    <t>Gants de manutention lourde
Chaussure de sécurité
Outils de levage 
Balisage de la zone de travail.</t>
  </si>
  <si>
    <t>Déménagement de meubles</t>
  </si>
  <si>
    <t>TMS / heurt / choc / ecrasement</t>
  </si>
  <si>
    <t>Mobilier</t>
  </si>
  <si>
    <t>Gants de manutention 
Chaussure de sécurité</t>
  </si>
  <si>
    <t>Formation gestes et postures</t>
  </si>
  <si>
    <t>Utilisation d'outils électroportatif</t>
  </si>
  <si>
    <t>Meulage</t>
  </si>
  <si>
    <t>Coupure / incendie / projection de matière</t>
  </si>
  <si>
    <t>Meuleuse / disqueuse</t>
  </si>
  <si>
    <t>Travaux en hauteur</t>
  </si>
  <si>
    <t>Travail sur escabeau</t>
  </si>
  <si>
    <t>Chute de hauteur  Basculement de l'escabeau
Chute d'objet</t>
  </si>
  <si>
    <t>Escabeau</t>
  </si>
  <si>
    <t>Remplacement de disjoncteur dans une armoire électrique BT</t>
  </si>
  <si>
    <t>Recherche de panne électrique</t>
  </si>
  <si>
    <t>Tout équipement électrique</t>
  </si>
  <si>
    <t>Travail sur nacelle élévatrice</t>
  </si>
  <si>
    <t>Chute de hauteur
Chute d'objet</t>
  </si>
  <si>
    <t>Nacelle élévatrice</t>
  </si>
  <si>
    <t>Equipement conforme et CE</t>
  </si>
  <si>
    <t>Travaux mécaniques</t>
  </si>
  <si>
    <t>Remplacement de courroies moteur extracteur d'air</t>
  </si>
  <si>
    <t>Electrisation / électrocution
Coupure / heurt</t>
  </si>
  <si>
    <t>Extracteur d'air</t>
  </si>
  <si>
    <t xml:space="preserve">non </t>
  </si>
  <si>
    <t>Habiitation BR pour les consignations électriques</t>
  </si>
  <si>
    <t>Remplacement de filtre CTA</t>
  </si>
  <si>
    <t xml:space="preserve">Manutention </t>
  </si>
  <si>
    <t>CTA</t>
  </si>
  <si>
    <t>Refixer systéatiquement des capôts et boulonneries</t>
  </si>
  <si>
    <t>Mesure d'intensité</t>
  </si>
  <si>
    <t>Electrisation / electrocution</t>
  </si>
  <si>
    <t>Equipement électrique</t>
  </si>
  <si>
    <t>Relevés et mesures</t>
  </si>
  <si>
    <t>Relevé de compteur</t>
  </si>
  <si>
    <t>Ecrasement des mains/ pieds</t>
  </si>
  <si>
    <t>Plaque / couvercle de regard</t>
  </si>
  <si>
    <t>Gestes et postures</t>
  </si>
  <si>
    <t>Montage / démontage de brides</t>
  </si>
  <si>
    <t>Projection de liquide / choc heurt / pincement / chute d'objet / gestes et postures</t>
  </si>
  <si>
    <t>Canalisation</t>
  </si>
  <si>
    <t>Travaux mécaniques sur tuyauterie - remplacement de vanne par exemple</t>
  </si>
  <si>
    <t>Projection de liquide / choc heurt / pincement / chute d'objet / electrisation / gestes et postures</t>
  </si>
  <si>
    <t>Raccordement électrique</t>
  </si>
  <si>
    <t>Câble / Matériel électrique</t>
  </si>
  <si>
    <t>Remplacement d'intérrupteur / remplacement de prise</t>
  </si>
  <si>
    <t>Prise / interrupteur</t>
  </si>
  <si>
    <t>Bricolage</t>
  </si>
  <si>
    <t>Travaux de serrurerie</t>
  </si>
  <si>
    <t>Coupure / heurt</t>
  </si>
  <si>
    <t>Outillage manuel ou électroportatif</t>
  </si>
  <si>
    <t>N/A</t>
  </si>
  <si>
    <t>Chaussures de sécurité / Gants de manutention / Lunettes de sécurité</t>
  </si>
  <si>
    <t>Analyse de risque préalbale et vérification du bon fonctionnement et de la présence de tout les éléments de sécurité sur les outils</t>
  </si>
  <si>
    <t>Montage / démontage de meuble</t>
  </si>
  <si>
    <t>Mobilier  / outillage manuel ou électroportaif</t>
  </si>
  <si>
    <t>Procédure manual handling</t>
  </si>
  <si>
    <t>Recherche de fuite sur groupe froid</t>
  </si>
  <si>
    <t>Groupe Froid</t>
  </si>
  <si>
    <t>Sonde de détection fixesur les groupe de capacité supérieur à 500KG</t>
  </si>
  <si>
    <t>Etre titulaire d'une attestation de capacité de niveau I pour les frigoriste</t>
  </si>
  <si>
    <t>Exposition aux produits chimiques</t>
  </si>
  <si>
    <t>Remplacement de fluide frigorigène</t>
  </si>
  <si>
    <t>Projection de produits chimiques / Inhalation de vapeurs chimiques / brûlure</t>
  </si>
  <si>
    <t>Fluide frigorigène</t>
  </si>
  <si>
    <t>Manipulation de déchets dangereux</t>
  </si>
  <si>
    <t>Déchets dangereux</t>
  </si>
  <si>
    <t>Stockage de déchets liquides dangereux</t>
  </si>
  <si>
    <t>Liquides et produits chimiques étiquetés dangereux</t>
  </si>
  <si>
    <t>Stockage de produits chimiques</t>
  </si>
  <si>
    <t>Liquides et produits chimiques étiquetés dangereux / Cuve / IBC / Bidons</t>
  </si>
  <si>
    <t xml:space="preserve">Compatibilité des matériaux  et étiquetage des produits </t>
  </si>
  <si>
    <t>Utilisation de colle / vernis / peinture</t>
  </si>
  <si>
    <t>Colle / vernis / peinture</t>
  </si>
  <si>
    <t>Utilisation de solvant</t>
  </si>
  <si>
    <t>Projection de solvant / Inhalation de COV / brûlure / incendie</t>
  </si>
  <si>
    <t>Solvant</t>
  </si>
  <si>
    <t>Utilisation de lubrifiant</t>
  </si>
  <si>
    <t>Projection de lubrifiant / Chute et glissade / incendie</t>
  </si>
  <si>
    <t>Lubrifiant</t>
  </si>
  <si>
    <t>Remplissage de cuve en réactif chimique</t>
  </si>
  <si>
    <t>Cuve de réactif chimique</t>
  </si>
  <si>
    <t>Compatibilité des matériaux  et étiquetage des produits / cuve double peau</t>
  </si>
  <si>
    <t>Manipulation de canne d'aspiration de réactif chimique</t>
  </si>
  <si>
    <t>Canne d'aspiration de réactif chimique</t>
  </si>
  <si>
    <t>Matériel CE et compatible avec produit</t>
  </si>
  <si>
    <t>Travaux sur pirl</t>
  </si>
  <si>
    <t>chute de hauteur</t>
  </si>
  <si>
    <t>Pirl</t>
  </si>
  <si>
    <t>Accès en hauteur à l'aide d'une échelle</t>
  </si>
  <si>
    <t>Chute de hauteur / chute d'objet</t>
  </si>
  <si>
    <t>Echelle</t>
  </si>
  <si>
    <t>Brulure / incendie / explosion</t>
  </si>
  <si>
    <t xml:space="preserve">Chariot soudeur </t>
  </si>
  <si>
    <t>Soudure par brassage</t>
  </si>
  <si>
    <t>Travaux avec outils manuels</t>
  </si>
  <si>
    <t>Utilisation d'outil à main</t>
  </si>
  <si>
    <t xml:space="preserve">Coupure </t>
  </si>
  <si>
    <t>Tournevis / clés / marteau…</t>
  </si>
  <si>
    <t xml:space="preserve">Utilisation d'outil tranchant ou coupant </t>
  </si>
  <si>
    <t>Coupure</t>
  </si>
  <si>
    <t>Cutter / Masicot / couteau / scie à main / grattoir munie de lame de cutter</t>
  </si>
  <si>
    <t xml:space="preserve">Gants anticoupure maxicut / lunettes de sécurité / Vêtements de travail </t>
  </si>
  <si>
    <t>Travaux en espace confiné</t>
  </si>
  <si>
    <t>Travail en espace confiné</t>
  </si>
  <si>
    <t xml:space="preserve">Asphixie/ Intoxication / inhalation de gaz </t>
  </si>
  <si>
    <t xml:space="preserve">Cuves / galerie / poste de relevage </t>
  </si>
  <si>
    <t>Identification des espaces confinés</t>
  </si>
  <si>
    <t>Travaux exposant aux intempéries</t>
  </si>
  <si>
    <t>Travail extérieure en période de canicule</t>
  </si>
  <si>
    <t>Coup de chaud / desydratation</t>
  </si>
  <si>
    <t>Environnement extérieur</t>
  </si>
  <si>
    <t>Travail extéreur en période de froid</t>
  </si>
  <si>
    <t xml:space="preserve">Prendre froid / gelure </t>
  </si>
  <si>
    <t>EPI et vêtements chauds</t>
  </si>
  <si>
    <t>Travaux exposant aux bruits</t>
  </si>
  <si>
    <t>Exposition au bruit</t>
  </si>
  <si>
    <t>Perte d'audition</t>
  </si>
  <si>
    <t xml:space="preserve">Environnement bruyant </t>
  </si>
  <si>
    <t>Port des protections auditives dans les zones signalées bruyantes</t>
  </si>
  <si>
    <t>Exposition à la chaleur</t>
  </si>
  <si>
    <t>Exposition aux équipements générant de la chaleur</t>
  </si>
  <si>
    <t>Brulure</t>
  </si>
  <si>
    <t>Equipements / machines / Tuyauteries</t>
  </si>
  <si>
    <t>Conformité équipement</t>
  </si>
  <si>
    <t>Port des EPI classique 
Port de gant anti-chaleur</t>
  </si>
  <si>
    <t>Exposition à l'amiante</t>
  </si>
  <si>
    <t>Travail à proximité d'équipement contenant de l'amiante</t>
  </si>
  <si>
    <t>Maladie professionnelle</t>
  </si>
  <si>
    <t>Faux plafonds / Sol / isolations de bâtiment / Elements de tuyauteries…</t>
  </si>
  <si>
    <t>DTA et cartogrpahie et repérage effecuée</t>
  </si>
  <si>
    <t xml:space="preserve">Amiante </t>
  </si>
  <si>
    <t>Sensibilisation interne</t>
  </si>
  <si>
    <t>Travaux en atmosphère poussiéreuse</t>
  </si>
  <si>
    <t>Exposition à la poussière</t>
  </si>
  <si>
    <t>Inhalation de poussière / Maladie professionnelle</t>
  </si>
  <si>
    <t>Matériel électroportatif essentiellement</t>
  </si>
  <si>
    <t>normal</t>
  </si>
  <si>
    <t>Ventilation des espaces d'intervention</t>
  </si>
  <si>
    <t>Remplacement de dalle de faux plafond</t>
  </si>
  <si>
    <t>Pirl / escabeau / nacelle / échaffaudage</t>
  </si>
  <si>
    <t>Recherche dans les faux plafond (branchement / fuite…)</t>
  </si>
  <si>
    <t>Rayonnage / rangement</t>
  </si>
  <si>
    <t>Chute d'objet / effondrement / TMS</t>
  </si>
  <si>
    <t xml:space="preserve">Armoire / rayonnage </t>
  </si>
  <si>
    <t xml:space="preserve">Rayonnage conforme et sécurisé </t>
  </si>
  <si>
    <t>Eléments lourd en bas
Eléments léger en haut
Adopyter une démarche 5S</t>
  </si>
  <si>
    <t>Remplacement ou réparation de BAES</t>
  </si>
  <si>
    <t xml:space="preserve">Chute de hauteur / chute d'objet / électrisation </t>
  </si>
  <si>
    <t>BAES</t>
  </si>
  <si>
    <t>BAES isolé - matériel normé</t>
  </si>
  <si>
    <t>Branchement dans baie de brassage</t>
  </si>
  <si>
    <t>RJ45</t>
  </si>
  <si>
    <t>Mesure de conception des installations électriques selon norme NFC 115</t>
  </si>
  <si>
    <t>Exposition aux risques biologiques</t>
  </si>
  <si>
    <t>Exposition à la légionnelle</t>
  </si>
  <si>
    <t>Maladie professionnelle / légionnelose</t>
  </si>
  <si>
    <t>Tour Aéroréfrigérante</t>
  </si>
  <si>
    <t>Masque P3 à moins de 8m des Tour Aeroréfrigérante</t>
  </si>
  <si>
    <t>Formation aux risques légionnelles</t>
  </si>
  <si>
    <t>Travail sur équipements contenant des eaux usées</t>
  </si>
  <si>
    <t>Projection d'eau usée / exposition à l'H2S</t>
  </si>
  <si>
    <t>Tout équipement d'assainissemeny</t>
  </si>
  <si>
    <t>Gants manchette de protection chimique / lunettes de sécurité / vêtement couvrant
Si intervention dans réseau d'assianissement =&gt; detection 4 gaz</t>
  </si>
  <si>
    <t xml:space="preserve">Consignation éllectrique des pompes/équipement si necessaire 
Consignation hydraulique si possible
Si intervention réseau d'asssainissement : mesure d'athmosphère permanente </t>
  </si>
  <si>
    <t>Maintenance HT</t>
  </si>
  <si>
    <t>Poste HT</t>
  </si>
  <si>
    <t>Mesure de conception des installations électriques HT</t>
  </si>
  <si>
    <t>Echaffaudage</t>
  </si>
  <si>
    <t>Déplacement de plain-pied</t>
  </si>
  <si>
    <t>Déplacements de plain pied dans les locaux techniques</t>
  </si>
  <si>
    <t>Chute / trébuchement</t>
  </si>
  <si>
    <t>Etat des sols</t>
  </si>
  <si>
    <t>Cheminements piétons stable et sans obstacle ou déformations du sol 
Signalisations au sol</t>
  </si>
  <si>
    <t xml:space="preserve">Chaussures de sécurité </t>
  </si>
  <si>
    <t>Respect des cheminement piéton  / signaler les anomalies</t>
  </si>
  <si>
    <t>Déplacements de plain pied dans les locaux tertiaires</t>
  </si>
  <si>
    <t xml:space="preserve">Cheminements piétons stable et sans obstacle ou déformations du sol </t>
  </si>
  <si>
    <t>Non applicable</t>
  </si>
  <si>
    <t>Déplacements de plain pied en extérieur (hors zone de coactivité)</t>
  </si>
  <si>
    <t>Utilisation des escaliers</t>
  </si>
  <si>
    <t xml:space="preserve">Etat des marches </t>
  </si>
  <si>
    <t>Conception des marches / nez de marches / rampes et rambarde</t>
  </si>
  <si>
    <t>Tenir la rampe / signaler les anomalies</t>
  </si>
  <si>
    <t>Déplacement en zone de coactivité Piétons / véhicule</t>
  </si>
  <si>
    <t>Heurt / collision avec un véhicule</t>
  </si>
  <si>
    <t>Véhicules</t>
  </si>
  <si>
    <t>Cheminements piétons stable et sans obstacle ou déformations du sol 
Signalisations au sol et signalisation verticales</t>
  </si>
  <si>
    <t>Accès par échelle à crinoline</t>
  </si>
  <si>
    <t>Echelle à crinoline</t>
  </si>
  <si>
    <t>Traitement de l'eau</t>
  </si>
  <si>
    <t xml:space="preserve">Vérifier le niveau de produit de traitement. </t>
  </si>
  <si>
    <t>Circuit injection réactif</t>
  </si>
  <si>
    <t xml:space="preserve">Cuves de réactif fermées 
Etiquettage des cuves avec mention de danger </t>
  </si>
  <si>
    <t xml:space="preserve">Contrôler les consommations de produit de traitement </t>
  </si>
  <si>
    <t>Contrôle visuel uniquement</t>
  </si>
  <si>
    <t>Contrôle le fonctionnement des pompes d’injection de produits</t>
  </si>
  <si>
    <t xml:space="preserve">Favoriser la mise en place de protection physique sur les pompes et doubles enveloppe sur les circuits d'injection </t>
  </si>
  <si>
    <t>Contrôler le déclenchement des approvisionnements</t>
  </si>
  <si>
    <t>Pas de risque identifié pour cette tâche</t>
  </si>
  <si>
    <t>Nettoyer les bacs, tuyaux et cannes d’injection</t>
  </si>
  <si>
    <t>Risques de projections chimiques / Inhalation / Brûlure</t>
  </si>
  <si>
    <t xml:space="preserve">Etiquetage des cuves avec mention de danger </t>
  </si>
  <si>
    <t>Formation aux risques chimiques</t>
  </si>
  <si>
    <t>Suivi du Titre Hydrométrique</t>
  </si>
  <si>
    <t>Adoucisseur</t>
  </si>
  <si>
    <t xml:space="preserve">Suivi en continu </t>
  </si>
  <si>
    <t>Rajout de sels</t>
  </si>
  <si>
    <t>port de charge (Sac de sel 25KG) + risque de coupure à l'ouverture des sacs</t>
  </si>
  <si>
    <t>Nettoyage et désinfection du bac à sel</t>
  </si>
  <si>
    <t xml:space="preserve">Vérifier intégrité des disconnecteurs / recherche de fuite </t>
  </si>
  <si>
    <t>Heurt / choc</t>
  </si>
  <si>
    <t>Disconnecteur sur eau d’appoint</t>
  </si>
  <si>
    <t>Raccordement dans les règles de l'art - tuyauterie d'évacuation des l'eau</t>
  </si>
  <si>
    <t>Vannes, vanne motorisée, électrovannes, clapets anti-retour, pompe de recirculation</t>
  </si>
  <si>
    <t>Vérifier l’état général (usure, tartre, corrosion...) et le bon fonctionnement</t>
  </si>
  <si>
    <t>Vannes, vanne motorisée, électrovannes, clapets anti-retour…</t>
  </si>
  <si>
    <t xml:space="preserve">Réseau d'eau </t>
  </si>
  <si>
    <t>Purger les réseaux, y compris points bas</t>
  </si>
  <si>
    <t>Pression / glissade / chute de plain pied</t>
  </si>
  <si>
    <t>Réseau</t>
  </si>
  <si>
    <t>Travail sur toiture</t>
  </si>
  <si>
    <t>Toiture</t>
  </si>
  <si>
    <t>Gardes-corps
Présence de points d'ancrage ou d'une ligne de vie</t>
  </si>
  <si>
    <t xml:space="preserve">Casque / Chaussure de sécurité / gants de travail / Lunettes de sécurité 
Port du harnais en cas d'absence de grade corps et à proximité des skydome non muni de barreaux anti-chute
</t>
  </si>
  <si>
    <t xml:space="preserve">Si absence de garde-corps - formation au port du harnais et travaux en hauteur </t>
  </si>
  <si>
    <t>Tout travail</t>
  </si>
  <si>
    <t>Travail sous pression</t>
  </si>
  <si>
    <t>Risques psychsociaux</t>
  </si>
  <si>
    <t>Tout équipement</t>
  </si>
  <si>
    <t>Formation des managers à l'identification des salariés en détresse psychologique</t>
  </si>
  <si>
    <t>Moka Care - soutien psychologique 
Droit à la déconnexion</t>
  </si>
  <si>
    <t>Engager des mesures concrète d'organisation du travail, de formation des salariés et de communication interne</t>
  </si>
  <si>
    <t xml:space="preserve"> - Conflits
- Isolement
- Pression de la hiérarchie
- Objectifs professionnels non smart
- Harcèlement
- Surcharge d'heures de travail</t>
  </si>
  <si>
    <t>Traumatismes physique et /ou psychique, dépression, 
Burn out,  pathologie aigue ou chroniques lié au stress, troubles psychosomatique, risque de suicide</t>
  </si>
  <si>
    <t>Déplacement d'astreinte / Travail de nuit occasionnel</t>
  </si>
  <si>
    <t xml:space="preserve">Tavail isolé </t>
  </si>
  <si>
    <t>RPS 
Fatigue et Troubles du sommeil
Accident de la route</t>
  </si>
  <si>
    <t>Intervention interdite sur les sites ne disposant pas de gardiennage.
Astreinte non doublée car le nombre de sortie ne le justifie pas.
Contrôle chaque matin par le cadre d'astreinte pour surveiller le respect des temps de repos, debrief des opérations et des rapports, etc.</t>
  </si>
  <si>
    <t xml:space="preserve">Rédaction et diffuson d'une note interne rappelant les règles et obligations </t>
  </si>
  <si>
    <t>Travail de nuit habituel ou équipe successive</t>
  </si>
  <si>
    <t>Travail isolé</t>
  </si>
  <si>
    <t>Surveillance médicale renforcée
Aménagement du temps de travail pour limiter le nombre de nuits réalisées</t>
  </si>
  <si>
    <t>Télétravail</t>
  </si>
  <si>
    <r>
      <rPr>
        <b/>
        <sz val="9"/>
        <color rgb="FF000000"/>
        <rFont val="Calibre"/>
        <family val="2"/>
      </rPr>
      <t xml:space="preserve">
Isolement social et professionnel :</t>
    </r>
    <r>
      <rPr>
        <sz val="9"/>
        <color rgb="FF000000"/>
        <rFont val="Calibre"/>
        <family val="2"/>
      </rPr>
      <t xml:space="preserve"> Sentiment d'abandon et perte de lien avec l'équipe.
</t>
    </r>
    <r>
      <rPr>
        <b/>
        <sz val="9"/>
        <color rgb="FF000000"/>
        <rFont val="Calibre"/>
        <family val="2"/>
      </rPr>
      <t>Déséquilibre vie pro/perso :</t>
    </r>
    <r>
      <rPr>
        <sz val="9"/>
        <color rgb="FF000000"/>
        <rFont val="Calibre"/>
        <family val="2"/>
      </rPr>
      <t xml:space="preserve"> Difficulté à déconnecter, allongement du temps de travail, empiètement du travail sur la vie familiale.
</t>
    </r>
    <r>
      <rPr>
        <b/>
        <sz val="9"/>
        <color rgb="FF000000"/>
        <rFont val="Calibre"/>
        <family val="2"/>
      </rPr>
      <t>Surcharge et stress :</t>
    </r>
    <r>
      <rPr>
        <sz val="9"/>
        <color rgb="FF000000"/>
        <rFont val="Calibre"/>
        <family val="2"/>
      </rPr>
      <t xml:space="preserve"> Objectifs flous ou inatteignables, management abusif ou contrôle excessif à distance.
</t>
    </r>
    <r>
      <rPr>
        <b/>
        <sz val="9"/>
        <color rgb="FF000000"/>
        <rFont val="Calibre"/>
        <family val="2"/>
      </rPr>
      <t>Épuisement professionnel (Burn-out) :</t>
    </r>
    <r>
      <rPr>
        <sz val="9"/>
        <color rgb="FF000000"/>
        <rFont val="Calibre"/>
        <family val="2"/>
      </rPr>
      <t xml:space="preserve"> Risque accru lié à la difficulté de s'imposer des pauses. </t>
    </r>
  </si>
  <si>
    <r>
      <rPr>
        <b/>
        <sz val="9"/>
        <color rgb="FF000000"/>
        <rFont val="Calibre"/>
        <family val="2"/>
      </rPr>
      <t>Aménagement :</t>
    </r>
    <r>
      <rPr>
        <sz val="9"/>
        <color rgb="FF000000"/>
        <rFont val="Calibre"/>
        <family val="2"/>
      </rPr>
      <t xml:space="preserve"> Fournir un matériel ergonomique (écran, chaise, clavier) et s'assurer de l'adéquation du lieu de travail.</t>
    </r>
  </si>
  <si>
    <r>
      <rPr>
        <b/>
        <sz val="9"/>
        <color rgb="FF000000"/>
        <rFont val="Calibre"/>
        <family val="2"/>
      </rPr>
      <t>Formation :</t>
    </r>
    <r>
      <rPr>
        <sz val="9"/>
        <color rgb="FF000000"/>
        <rFont val="Calibre"/>
        <family val="2"/>
      </rPr>
      <t xml:space="preserve"> Former les salariés et les managers aux outils numériques et à la gestion du travail à distance.</t>
    </r>
  </si>
  <si>
    <r>
      <rPr>
        <b/>
        <sz val="9"/>
        <color rgb="FF000000"/>
        <rFont val="Calibre"/>
        <family val="2"/>
      </rPr>
      <t xml:space="preserve">Organisation : </t>
    </r>
    <r>
      <rPr>
        <sz val="9"/>
        <color rgb="FF000000"/>
        <rFont val="Calibre"/>
        <family val="2"/>
      </rPr>
      <t xml:space="preserve">Mettre en place un droit à la déconnexion effectif, définir des plages horaires de joignabilité et organiser des réunions régulières pour maintenir le lien.
</t>
    </r>
    <r>
      <rPr>
        <b/>
        <sz val="9"/>
        <color rgb="FF000000"/>
        <rFont val="Calibre"/>
        <family val="2"/>
      </rPr>
      <t xml:space="preserve">Management : </t>
    </r>
    <r>
      <rPr>
        <sz val="9"/>
        <color rgb="FF000000"/>
        <rFont val="Calibre"/>
        <family val="2"/>
      </rPr>
      <t xml:space="preserve">Adapter le suivi en se concentrant sur les résultats plutôt que sur le temps de connexion. Réaliser des entretiens annuels dédiés aux conditions de télétravail.
</t>
    </r>
    <r>
      <rPr>
        <b/>
        <sz val="9"/>
        <color rgb="FF000000"/>
        <rFont val="Calibre"/>
        <family val="2"/>
      </rPr>
      <t xml:space="preserve">
Routine : </t>
    </r>
    <r>
      <rPr>
        <sz val="9"/>
        <color rgb="FF000000"/>
        <rFont val="Calibre"/>
        <family val="2"/>
      </rPr>
      <t xml:space="preserve">Pour le salarié, maintenir une routine (horaires fixes, pauses, se préparer) pour bien scinder vie pro et vie perso. </t>
    </r>
  </si>
  <si>
    <t>Fréquence d'exposition au danger</t>
  </si>
  <si>
    <t>Jamais à rarement</t>
  </si>
  <si>
    <t>Jamais exposé à 1 fois par an</t>
  </si>
  <si>
    <t>GRAVITE (G)</t>
  </si>
  <si>
    <t>Fréquence + probabilité</t>
  </si>
  <si>
    <t>Quelque fois</t>
  </si>
  <si>
    <t>Exposé 1 fois par mois</t>
  </si>
  <si>
    <t>&lt;2</t>
  </si>
  <si>
    <t>2&lt;Class&lt;4</t>
  </si>
  <si>
    <t>4&lt;Class&lt;6</t>
  </si>
  <si>
    <t>6&lt;Class&lt;8</t>
  </si>
  <si>
    <t>8&lt;Class&lt;10</t>
  </si>
  <si>
    <t>De temps en temps</t>
  </si>
  <si>
    <t>Exposé 1 fois par semaine</t>
  </si>
  <si>
    <t xml:space="preserve">Régulièrement </t>
  </si>
  <si>
    <t>Exposé 1 fois par jour</t>
  </si>
  <si>
    <t>Catastrophique</t>
  </si>
  <si>
    <t>M</t>
  </si>
  <si>
    <t>S</t>
  </si>
  <si>
    <t>C</t>
  </si>
  <si>
    <t>En continue</t>
  </si>
  <si>
    <t>Exposé plusieurs fois par jour</t>
  </si>
  <si>
    <t>Critique</t>
  </si>
  <si>
    <t>Sérieuse ou Sévère</t>
  </si>
  <si>
    <t>F</t>
  </si>
  <si>
    <t>Probabilité d'occurrence d'un accident</t>
  </si>
  <si>
    <t>Conséquente</t>
  </si>
  <si>
    <t>Impossible à improbable</t>
  </si>
  <si>
    <t>Jamais rencontré</t>
  </si>
  <si>
    <t>Mineur</t>
  </si>
  <si>
    <t xml:space="preserve">Très peu probable </t>
  </si>
  <si>
    <t>Vu une fois</t>
  </si>
  <si>
    <t xml:space="preserve">Peu probable </t>
  </si>
  <si>
    <t>Survenance dans l'année</t>
  </si>
  <si>
    <t>Probable</t>
  </si>
  <si>
    <t>Survenance dans le mois</t>
  </si>
  <si>
    <t xml:space="preserve">Très probable à certain </t>
  </si>
  <si>
    <t>Très fréquent à systématique</t>
  </si>
  <si>
    <t>Echelle de Gravité</t>
  </si>
  <si>
    <t xml:space="preserve">Mineure </t>
  </si>
  <si>
    <t>Accident bénin / premiers soins</t>
  </si>
  <si>
    <t>Modérée</t>
  </si>
  <si>
    <t>Lésion réversible nécessitant des soins hors hospitalisation</t>
  </si>
  <si>
    <t>Significative</t>
  </si>
  <si>
    <t>Lésion réversible nécessitant une hospitalisation / Maladie proffesionnelle réversible / handicap temporaire</t>
  </si>
  <si>
    <t>Victime unique : Décès / Lésions irréversibles / Handicap permanent / Maladie professionnelle irréversible</t>
  </si>
  <si>
    <t>Victimes multiples : Décès / Lésions irréversibles / Handicap permanent / Maladie professionnelle irréversible</t>
  </si>
  <si>
    <t xml:space="preserve">Equipement de protection </t>
  </si>
  <si>
    <t>Pas d'équipement de protection, ni individuelle, ni collectif</t>
  </si>
  <si>
    <t>Equipement de protection individuel adapté, porté et vérifié</t>
  </si>
  <si>
    <t xml:space="preserve">Equipement de protection collectif installé, adapté et maintenu </t>
  </si>
  <si>
    <t>Formation</t>
  </si>
  <si>
    <t>Aucune formation</t>
  </si>
  <si>
    <t>Formation et sensibilisation réglementaire</t>
  </si>
  <si>
    <t>Formation et sensibilisation complémentaire</t>
  </si>
  <si>
    <t>Aucune</t>
  </si>
  <si>
    <t>Présence de procédures et d'affichage</t>
  </si>
  <si>
    <t>Connaissance et respect des procédures et des affichages</t>
  </si>
  <si>
    <r>
      <rPr>
        <b/>
        <sz val="14"/>
        <color theme="1"/>
        <rFont val="Calibre"/>
        <family val="2"/>
      </rPr>
      <t xml:space="preserve">4a. </t>
    </r>
    <r>
      <rPr>
        <sz val="11"/>
        <color theme="1"/>
        <rFont val="Calibre"/>
        <family val="2"/>
      </rPr>
      <t xml:space="preserve">Quels sont les principaux risques de cette tâche ? </t>
    </r>
  </si>
  <si>
    <r>
      <rPr>
        <b/>
        <sz val="14"/>
        <color theme="1"/>
        <rFont val="Calibre"/>
        <family val="2"/>
      </rPr>
      <t xml:space="preserve">4b. </t>
    </r>
    <r>
      <rPr>
        <sz val="11"/>
        <color theme="1"/>
        <rFont val="Calibre"/>
        <family val="2"/>
      </rPr>
      <t xml:space="preserve">Risque INRS </t>
    </r>
  </si>
  <si>
    <t>Règle 1 - Autorisation  de Travail ( compétence)</t>
  </si>
  <si>
    <t xml:space="preserve"> minimum l'habilitation BE Manœuvre ou l'habilitation BS</t>
  </si>
  <si>
    <t xml:space="preserve">Consignation des énergies préalable au niveau du disjoncteur
Loto - condamnation du départ éléctrique
Permis de travail électrique 
EA : Verification de compétence electrique </t>
  </si>
  <si>
    <t>EA : Verification de compétence electriq</t>
  </si>
  <si>
    <t>Règle 4 - Conduite</t>
  </si>
  <si>
    <t xml:space="preserve">Code de la route applicable à tous
Charte de conduite de vehicule CBRE 
Maintenance des véhicules CBRE
 - Contrat de "full maintenance" intégré 
 - Contrat intégrant pneumatiques été/hiver
</t>
  </si>
  <si>
    <t xml:space="preserve">Procédure de vérification (checklist) des véhicules à réaliser par les managers à remettreen place </t>
  </si>
  <si>
    <t>Politique de déplacements
- Limiter les déplacements et favoriser les visio conférence
- Favoriser les déplacements par les transports en commun (train)</t>
  </si>
  <si>
    <t>Circulation en 2 roue</t>
  </si>
  <si>
    <t>Risques routiers en mission</t>
  </si>
  <si>
    <t>2 roues</t>
  </si>
  <si>
    <t>Dotation d'EPI spécialement conçus pour les 2 roues (casque, gants, blouson, bottes)</t>
  </si>
  <si>
    <t xml:space="preserve">Atelier d'ergonomie
Core Safety Training : elearning </t>
  </si>
  <si>
    <t xml:space="preserve">Core Safety Training : elearning </t>
  </si>
  <si>
    <t xml:space="preserve">Formation gestes et postures
Core Safety Training : elearning </t>
  </si>
  <si>
    <t>Outils munis de capot / carter deprotection  sur autour de la lame et d'une poignée</t>
  </si>
  <si>
    <t xml:space="preserve">Gants anticoupure
Ecran facial   
Vêtements de travail 
balisage de la zone de travail 
extincteur </t>
  </si>
  <si>
    <t>Escabeau conforme EN 131 (pas de défault structurel, présence des patins anti-dérapant)</t>
  </si>
  <si>
    <t>Casquette coquée
Chaussure de sécurité 
Gants
Lunettes de sécurité
Balisage de la zone</t>
  </si>
  <si>
    <t xml:space="preserve">Core safety training : elearning </t>
  </si>
  <si>
    <t>Vêtement de travail ( si possilbe Atex / Arc Flash)
Chaussures de sécurité
Gants de manipulation fine 
Kit de consignation 
VAT
Balisage de la zone si travail en hauteur</t>
  </si>
  <si>
    <t>Casque électricien 
Gants électricien
Vêtement de travail (arc flash et Atex si possible)
Chaussures de sécurité
Tapis isolant
Kit de consignation 
VAT
Balisage</t>
  </si>
  <si>
    <t xml:space="preserve">Règle 1 - Autorisation  de Travail ( compétence)
Regle 2 - Consignation 
Règle 3 - travaux électrique </t>
  </si>
  <si>
    <t>Analyse de risque dynmaique ou RAD 
Check list manutention manuelle MANHa
Travail à deux pour le mobilier volumineux
Utilitation des moyens mécaniques de manutention (chariots, transpalettes, véhicules…)
Outils spécifique de levage hors equpement necessitant formation spécifique (CACES)</t>
  </si>
  <si>
    <t>Analyse de risque dynmaique ou RAD 
Check list manutention manuelle MANHa
Préférez l'utilisation d'outil de levage spécifique (lève plaque, pioche…) 
Ne jamais laisser une plaque ouverte sans balisage</t>
  </si>
  <si>
    <t xml:space="preserve">Analyse de risque dynmaique ou RAD 
Permis de travail electrique signé 
Consignation des énergies
EA : verification des compétences </t>
  </si>
  <si>
    <t xml:space="preserve">Habilitation électrique niveau BR à minima 
Coordinateur : Formation PTW travaux electrique </t>
  </si>
  <si>
    <t xml:space="preserve">Tous : Habilitation électrique niveau BR à minima 
Coordinateur : Formation PTW travaux electrique </t>
  </si>
  <si>
    <t>Core safety training : elearning 
Formation PTW : Travaux en hauteur au dessus de 1,8 m</t>
  </si>
  <si>
    <t xml:space="preserve">Analyse de risque avant travaux ou RAD
Privilégier l'utilisation d'une pirl lorsque c'est possible. 
Vérification de l'équipement avant utilisation (état de conservation, présence de l'ensemble des pièces, stabilité)
Matériel ressencé et référencé
Permis de travail en hauteur pour les hauteurs de plus de 1,8m signé 
EA : verification des compétences </t>
  </si>
  <si>
    <t>Permis de travail signé 
Procedure hot work 
Procedure PTW : Permis Feu
Vérification préalable du matériel (verification avant utilisation / inspection annuelle)
Choix préalable du disque le plus adaptée au matériau découpé 
Interdiction d'enlever la poignée</t>
  </si>
  <si>
    <t xml:space="preserve">Core safety training : elearning 
</t>
  </si>
  <si>
    <t>Casque avec jugulaire
Chaussure de sécurité
gants de travail 
équipement de protection contre les chute de hauteur (harnais et longe sans absorbeur)
Balisage de la zone de travail</t>
  </si>
  <si>
    <t xml:space="preserve">Analyse de risque dynmaique ou RAD 
Permis de travail en hauteur signé 
EA : verification des compétences </t>
  </si>
  <si>
    <t xml:space="preserve">Formation nacelle : 
- CACES 486 A linéaire 
- CACES 486 B mouvements horizontaux ou une rotation
Formation port du harnais
Coordinateur : Formation PTW travail en hauteur </t>
  </si>
  <si>
    <t xml:space="preserve">Règle 1 - Autorisation  de Travail ( compétence)
Regle 6 - Travail en hauteur </t>
  </si>
  <si>
    <t xml:space="preserve">Règle 1 - Autorisation  de Travail ( compétence)
Regle 7 - travail par point chaud </t>
  </si>
  <si>
    <t xml:space="preserve">Règle 1 - Autorisation  de Travail ( compétence)
Regle 2 - Consignation 
</t>
  </si>
  <si>
    <t>Casque / Chaussure de sécurité / gants de travail / lunettes de sécurité 
Kit de consignation 
Balisage de la zone de travail</t>
  </si>
  <si>
    <t>Analyse de risque dynmaique ou RAD 
Arrêt préalable de la CTA au commutateur avec cadenas
Test de redemarage
Vérification prélabale des outillages</t>
  </si>
  <si>
    <t xml:space="preserve">Règle 1 - Autorisation  de Travail ( compétence)
Regle 3 - travaux electriques  
</t>
  </si>
  <si>
    <t>Casque électricien 
Gants électricien
Vêtement de travail ( Atex et Arc Flach si possible)
Multimètre</t>
  </si>
  <si>
    <t>Casque / casquette coquéex
Chaussures de sécurité  
gants de manutention
Lunette de sécurité 
Outil de levage de plaque</t>
  </si>
  <si>
    <t xml:space="preserve">Casque / casquette coquéex
Chaussures de sécurité  
gants de manutention
Lunette de sécurité </t>
  </si>
  <si>
    <t xml:space="preserve">Autorisation prélable aux travaux de démontage
Consignation préalable des équipements électriques 
Fermeture et condamnation des vannes / purge des réseaux
Elemination des energies residuelles 
Vérification prélabale des outillages </t>
  </si>
  <si>
    <t xml:space="preserve">Habilitation B1 minimum
Coordinateur : Formation PTW travaux electrique </t>
  </si>
  <si>
    <t xml:space="preserve">Habilitation BS minimum
Coordinateur : Formation PTW travaux electrique </t>
  </si>
  <si>
    <t>Permis de travail électrique signé 
Repérage des plans 
Etiquetage 
Suivi des modes opératoires</t>
  </si>
  <si>
    <t>Habilitation BS minimum
Etre titulaire d'une attestation de capacité de niveau I pour les frigoriste</t>
  </si>
  <si>
    <t>Vêtement de travail couvrant
Gants de protection chimique 
vérifier les EPI recommandés de la FDS au préalable Rubrique 8  
Lunette de sécurité.</t>
  </si>
  <si>
    <t>Vêtement de travail couvrant
Gants de protection chimique 
vérifier les EPI recommandés de la FDS au préalable Rubrique 8   / Lunette de sécurité.</t>
  </si>
  <si>
    <t>FDS des produits utilisés
Alayse de risque produit chimique Seirich
Respect strict des consignes de tri 
Attention aux mélange de déchets incompatibles
Déclaration aux autorités des quantités par type de dechets</t>
  </si>
  <si>
    <t>Coresafety training : Sensibilisation à la manipulation des produits chimiques</t>
  </si>
  <si>
    <t xml:space="preserve">Analyse de risque avant travaux ou RAD
Inspection escabeau aavnt utilisation
Inspection mensuelle WAHSa
Privilégier l'utilisation d'une pirl lorsque c'est possible. 
Vérification de l'équipement avant utilisation (état de conservation, présence de l'ensemble des pièces, stabilité)
Matériel ressencé et référencé
Permis de travail en hauteur pour les hauteurs de plus de 1,80 signé
EA : verification des compétences </t>
  </si>
  <si>
    <t xml:space="preserve">Analyse de risque avant travaux ou RAD
Inspection mensuelle WAHSa
Vérification de l'équipement avant utilisation (état de conservation, présence de l'ensemble des pièces, stabilité)
Matériel ressencé et référencé
Permis de travail en hauteur pour les hauteurs de plus de 1,80 signé
EA : verification des compétences </t>
  </si>
  <si>
    <t xml:space="preserve">Core safety training :travail en hauteur </t>
  </si>
  <si>
    <t>PIRL conforme EN 131 (pas de défault structurel, présence des patins anti-dérapant)</t>
  </si>
  <si>
    <t>Echelle conforme EN 131 (pas de défault structurel, présence des patins anti-dérapant)</t>
  </si>
  <si>
    <t xml:space="preserve">L'échelle n'est qu'un moyen d'accès - Elle doit faire l'objet d'une vérifcation pralable et être attachée en tête - Présence d'un second opérateur 
Analyse de risque avant travaux ou RAD
Inspection mensuelle WAHSa
Vérification de l'équipement avant utilisation (état de conservation, présence de l'ensemble des pièces, stabilité)
Matériel ressencé et référencé
Permis de travail en hauteur pour les hauteurs de plus de 1,80 signé
EA : verification des compétences </t>
  </si>
  <si>
    <t>Soudure à l'arc</t>
  </si>
  <si>
    <t xml:space="preserve">EPI du soudeur 
gants épais en cuir
casque de soudage à cristaux liquides
vêtements en coton ignifugé
vérifier les EPI recommandés de la FDS au préalable Rubrique 8   
</t>
  </si>
  <si>
    <t xml:space="preserve">Core safety training : elearning 
Formation PTW :  Travauxparpoint chaud
Formation extincteur </t>
  </si>
  <si>
    <t xml:space="preserve">Formation soudure à l'arc
Formation extincteur 
Core safety training : elearning 
Formation PTW :  Travaux par point chaud
</t>
  </si>
  <si>
    <t xml:space="preserve">EPI du soudeur 
gants épais en cuir
casque de soudage à cristaux liquides
vêtements en coton ignifugé
</t>
  </si>
  <si>
    <t xml:space="preserve">Permis de travail signé 
Procedure hot work 
Procedure PTW : Permis Feu
Vérification préalable du matériel (verification avant utilisation / inspection annuelle)
Procedure soudure à l'arc
EA : Verification de compétences </t>
  </si>
  <si>
    <t xml:space="preserve">Permis de travail signé 
Procedure hot work 
Procedure PTW : Permis Feu
Vérification préalable du matériel (verification avant utilisation / inspection annuelle)
Procedure soudure brasage
EA : Verification de compétences </t>
  </si>
  <si>
    <t>Equiepement CE</t>
  </si>
  <si>
    <t>Gants anticoupure / lunettes de sécurité / Vêtements de travail /</t>
  </si>
  <si>
    <t xml:space="preserve">Analyse de risque avant travaux ou RAD
Vérification des outils et de leur intégrité avant utilisation </t>
  </si>
  <si>
    <t>Couteaux de sureté avec lames enfermées  ou
safety Cutter à lame rétractable uniquement</t>
  </si>
  <si>
    <t>Couteaux de sureté avec lames enfermées
Vérification des outils et de leur intégrité avant utilisation 
Cutter interdit
Cutter à lame rétractable et débrayable autorisé</t>
  </si>
  <si>
    <t>Permis de travail signé 
Procedure espace confinée 
Procedure PTW : espace confinés
Vérification préalable du matériel (verification avant utilisation / inspection annuelle)
EA : Verification de compétences</t>
  </si>
  <si>
    <t xml:space="preserve">Formation CATEC - Certificat d'aptitude aux travaux en Espaces Confinés
Formation harnais
Formation PTW  espace confinée </t>
  </si>
  <si>
    <t>Casque avec jugulaire
lunette de sécurité
Chaussure de sécurité adaptée
gants de travail 
Detecteur 4 gaz etaloné 
protection respiratoire adaptée
protection contre les chutes 
Balisage de la zone de travail
Moyen de communication</t>
  </si>
  <si>
    <t>Règle 1 - Autorisation  de Travail ( compétence)
Regle 6 - travailespace confiné</t>
  </si>
  <si>
    <t xml:space="preserve">Règle 1 - Autorisation  de Travail ( compétence)
Regle 5 - Travail en hauteur </t>
  </si>
  <si>
    <t xml:space="preserve">Adapter ses vêtements aux conditions sans pour autant supprimer les EPI nécessaires pour les tâches à excécuter
</t>
  </si>
  <si>
    <t>Adapter les horaires de travail en fonction des conditions météos - Décaler tôt le matin les interventions extérieures en cas de canicule mesure de prevention en cas de canicule et travaux extérieur
Pauses fréquentes et adaptées
Réduction de la charge de travail
Protection solaire et équipements
Prévoir ou aménager des zones d'ombre ou des abris 
Fourniture d'eau pour s'hydrater abondamment</t>
  </si>
  <si>
    <t>Vérification des conditions météos prélablement à l'opération - décaler les interventions si besoins
Mise à disposition de boisson chaude
Mise à dispostion de locaux chauffés
Réduction de la charge de travail
Pauses fréquentes et adaptées</t>
  </si>
  <si>
    <t>Identification des équipements et zones bruyantes</t>
  </si>
  <si>
    <t>Obligatoire au dessus de 85db
Recommandé à partir de 80db
Sensibilisation du personnel
Identification des zones à risque (cartographie)
Identification des équipements/véhicules bruyants nécessitant le port d’EPI pour l’utilisateur
Suppression de la source de bruit lorsque cela est possible (mise à l'arret de l'équipement bruyant)
Si impossible : 
Limitation de la durée d’exposition (X heures/jours)
Port des EPI (casques/protections auditives)</t>
  </si>
  <si>
    <t>Signalétique des surface chaude 
Respect des modes opératoires existants
Ne pas toucher les surfaces chaudes</t>
  </si>
  <si>
    <r>
      <rPr>
        <b/>
        <sz val="9"/>
        <color rgb="FFFF0000"/>
        <rFont val="Calibre"/>
        <family val="2"/>
      </rPr>
      <t xml:space="preserve">Obligation de droit de retrait </t>
    </r>
    <r>
      <rPr>
        <sz val="9"/>
        <color rgb="FF000000"/>
        <rFont val="Calibre"/>
        <family val="2"/>
      </rPr>
      <t xml:space="preserve">
EPI 
masque FFP3 </t>
    </r>
  </si>
  <si>
    <r>
      <rPr>
        <b/>
        <sz val="9"/>
        <color rgb="FFFF0000"/>
        <rFont val="Calibre"/>
        <family val="2"/>
      </rPr>
      <t>Travaux sur amiante interdit</t>
    </r>
    <r>
      <rPr>
        <sz val="9"/>
        <color rgb="FF000000"/>
        <rFont val="Calibre"/>
        <family val="2"/>
      </rPr>
      <t xml:space="preserve">
Se référer préalablement au DTA pour identifier les zones / matériaux contenant de l'amiante / 
Respect stricte des affichages
Pour tout travail sur matériaux amianté =&gt; consulter une entreprise spécialisé via le client</t>
    </r>
  </si>
  <si>
    <t>Casquette coquée
Chaussure de sécurité 
Gants
Lunettes de sécurité
Masque FFP3</t>
  </si>
  <si>
    <t>Actions de sensibilisation/préparation :
- Sensibilisation à la selection et au port du masque (étanchiété)
- Examen du type de la poussière (Par exemple : via seirich, etc) si necessaire demandé FDS
- Rédaction d'un mode opératoire spécifique
Actions Techniques :
- Bonne ventilation.
- Interdiction de fumer.
- Nettoyage régulier des chantiers
- Evacuation des gravats ou déchets
- Aspiration des poussières
- Port de masque anti-poussières.
- Utilisation de détecteurs adaptés si necessaire.
- Limiter la durée d'exposition en fonction de l'évaluation du risque (X heures / jours).</t>
  </si>
  <si>
    <t xml:space="preserve">Casquette coquée
Chaussure de sécurité 
Gants
Lunettes de sécurité
Masque pourla poussière
Mise en place d'un balisage </t>
  </si>
  <si>
    <t>Equipement EN 131</t>
  </si>
  <si>
    <t xml:space="preserve">Casquette coquée
Chaussure de sécurité 
Gants
Lunettes de sécurité
Masque pour la poussière
Mise en place d'un balisage </t>
  </si>
  <si>
    <t xml:space="preserve">Core safety training : elearning 
Formation PTW : Travaux en hauteur au dessus de 1,8 m
Si echaffaudage:formation montage / demaontage </t>
  </si>
  <si>
    <t xml:space="preserve">FDS des produits utilisés
Procedure substance dangeureuse COSH
Alayse de risque produit chimique Seirich
Respect strict des consignes de tri 
Attention aux mélange de déchets incompatibles
</t>
  </si>
  <si>
    <t>FDS des produits utilisés
Procedure substance dangeureuse COSH
Alayse de risque produit chimique Seirich
Respect strict des consignes de tri 
Attention aux mélange de déchets incompatibles
Déclaration aux autorités des quantités par type de fluide évacué</t>
  </si>
  <si>
    <t xml:space="preserve">FDS des produits utilisés
Procedure substance dangeureuse COSH
Alayse de risque produit chimique Seirich
Respect strict des consignes de tri 
Attention aux mélange de déchets incompatibles
Déclaration aux autorités des quantités par type de dechets
Produits sur rétention </t>
  </si>
  <si>
    <t>Casquette coquée
Gants
Lunettes de sécurité
Chaussure de sécurité</t>
  </si>
  <si>
    <t>Coresafety training :manutention mauelle</t>
  </si>
  <si>
    <t xml:space="preserve">Branchement de matériel informatique sur prise </t>
  </si>
  <si>
    <t xml:space="preserve">matériel informatique </t>
  </si>
  <si>
    <t>Vériication préalable de l'état des équipement
Procedure WKEQ</t>
  </si>
  <si>
    <t xml:space="preserve">Analyse de risque avant travaux ou RAD
Inspection mensuelle WAHSa
Vérification de l'équipement avant utilisation (état de conservation, présence de l'ensemble des pièces, stabilité)
Matériel ressencé et référencé
Priviligier la PIRL
Permis de travail en hauteur pour les hauteurs de plus de 1,80 signé
EA : verification des compétences </t>
  </si>
  <si>
    <r>
      <rPr>
        <b/>
        <sz val="9"/>
        <color rgb="FF000000"/>
        <rFont val="Calibre"/>
        <family val="2"/>
      </rPr>
      <t>Formation :</t>
    </r>
    <r>
      <rPr>
        <sz val="9"/>
        <color rgb="FF000000"/>
        <rFont val="Calibre"/>
        <family val="2"/>
      </rPr>
      <t xml:space="preserve"> habilitation électrique indice BS
Coordinateur formation PTW :Travaux electrique </t>
    </r>
  </si>
  <si>
    <r>
      <t xml:space="preserve">En fonction de la tache 
</t>
    </r>
    <r>
      <rPr>
        <b/>
        <sz val="9"/>
        <color rgb="FF000000"/>
        <rFont val="Calibre"/>
        <family val="2"/>
      </rPr>
      <t xml:space="preserve">Non Electrique </t>
    </r>
    <r>
      <rPr>
        <sz val="9"/>
        <color rgb="FF000000"/>
        <rFont val="Calibre"/>
        <family val="2"/>
      </rPr>
      <t xml:space="preserve">
Casquette coquée
Gants
Lunettes de sécurité
Chaussure de sécurité
</t>
    </r>
    <r>
      <rPr>
        <b/>
        <sz val="9"/>
        <color rgb="FF000000"/>
        <rFont val="Calibre"/>
        <family val="2"/>
      </rPr>
      <t>Electrique</t>
    </r>
    <r>
      <rPr>
        <sz val="9"/>
        <color rgb="FF000000"/>
        <rFont val="Calibre"/>
        <family val="2"/>
      </rPr>
      <t xml:space="preserve">
Casque électricien 
Gants électricien
Vêtement de travail (arc flash et Atex si possible)
Chaussures de sécurité
Outillage isolé
Tapis isolant
Kit de consignation 
VAT
Balisage</t>
    </r>
  </si>
  <si>
    <r>
      <rPr>
        <b/>
        <sz val="9"/>
        <color rgb="FF000000"/>
        <rFont val="Calibre"/>
        <family val="2"/>
      </rPr>
      <t>Formation :</t>
    </r>
    <r>
      <rPr>
        <sz val="9"/>
        <color rgb="FF000000"/>
        <rFont val="Calibre"/>
        <family val="2"/>
      </rPr>
      <t xml:space="preserve">
Coordinateur formation PTW :Travaux electrique 
Habilitation B0 / H0  permet de pénétrer dans ces zones sans intervenir directement sur les équipements électriques sous tension
Habilitation BS destinée aux non-électriciens pour des interventions hors tension
Habilitation BE effectuer des vérifications d'absence ou de présence de tension, ou réaliser des manœuvres spécifiques sur des équipements électriques, comme la vérification de la tension sur une carte mère ou un onduleu</t>
    </r>
  </si>
  <si>
    <t xml:space="preserve">Masque FFP3
Casquette coquée
Chaussure de sécurité 
Gants
Lunettes de sécurité
</t>
  </si>
  <si>
    <t>ECS</t>
  </si>
  <si>
    <t>Exposition à la légionnelle Eau Chaude sanitaire (Maintenance)</t>
  </si>
  <si>
    <t xml:space="preserve">Exposition à la légionnelle operation des Tours </t>
  </si>
  <si>
    <t>Formation aux risques légionnelles
Formation Talent Coach legionelle 
Formation The Academy eau et legionelle 
Coorditateur :  formation (réglementaire) pour les responsables du management de la légionelle des Tours Aéroréfrigérente, ainsi qu'aux procedure CBRE Hygiène de l'eau pour prevenir et surveiller la présence de legionelle</t>
  </si>
  <si>
    <t xml:space="preserve">Formation  aux risques légionnelles
Formation Talent Coach legionelle 
Formation The Academy eau et legionelle </t>
  </si>
  <si>
    <t xml:space="preserve">Logbook Water &amp; Legionella afin de maîtriser le risque pour les utilisateurs. 
Sensibiliser à consultez rapidement un médecin en cas de signes évocateurs de la maladie (pneumonie sévère, toux sèche, maux de tête, fièvre élevée, fatigue, etc.)
Respect de la procedure CBRE Hygiène de l'eau pour prevenir et surveiller la présence de legionelle dans les réseaux. 
Mise en place du Carnet Sanitaire
</t>
  </si>
  <si>
    <t>Casque électricien 
Gants électricien classe 3
Vêtement de travail ignifuges et anti-arc 
Chaussures de sécurité isolante
Tapis isolant et Tabouret
Perche electrique
Balisage</t>
  </si>
  <si>
    <t xml:space="preserve">Habilitation électrique niveau HTA/HTB
Coordinateur formation PTW :Travaux electrique </t>
  </si>
  <si>
    <t>Casque avec jugulaire 
Chaussure de sécurité 
Gants de travail
Lunettes de sécurité</t>
  </si>
  <si>
    <t xml:space="preserve">Utilisation d'échafaudage mobile </t>
  </si>
  <si>
    <t>Utilisation d'échafaudage fixe</t>
  </si>
  <si>
    <t xml:space="preserve">Equipement conforme </t>
  </si>
  <si>
    <t xml:space="preserve">Inspecter le PV de reception:equipement conforme
Analyse de risque avant travaux ou RAD
Inspection journalière
Vérification de l'équipement avant utilisation (état de conservation, présence de l'ensemble des pièces, stabilité)
Inspection règlementaire au bout de 3 mois
</t>
  </si>
  <si>
    <t xml:space="preserve">Montage d'échaffaudage mobile </t>
  </si>
  <si>
    <t>Notice constructeur
Equipement conforme et CE</t>
  </si>
  <si>
    <t xml:space="preserve">Accès à uneplateforme camion </t>
  </si>
  <si>
    <t xml:space="preserve">Echelle </t>
  </si>
  <si>
    <t>casque avec jugulaire 
Gants
Lunettes de sécurité
Chaussure de sécurité
Harnais 
disposition stop chute</t>
  </si>
  <si>
    <t xml:space="preserve">Core safety training : elearning 
Formation PTW : Travaux en hauteur au dessus de 1,8 m
Portdu Harnais </t>
  </si>
  <si>
    <t xml:space="preserve">Analyse de risque avant travaux ou RAD
Vérification de l'équipement avant utilisation (état de conservation, présence de l'ensemble des pièces, stabilité)
Matériel ressencé et référencé
Permis de travail en hauteur 
EA : verification des compétences </t>
  </si>
  <si>
    <t>Respect de la règle des 3 points de contact avec l'échelle
Rester face à l'echelle
vigilence en fonction des conditions météo</t>
  </si>
  <si>
    <t>Accident de travail fedex</t>
  </si>
  <si>
    <t xml:space="preserve">Rambarde </t>
  </si>
  <si>
    <t xml:space="preserve">Chaussures de sécurité
Gilet haute visibilité </t>
  </si>
  <si>
    <t>Plan de Prevention prise de connaissance du PDP
Induction site 
Respect des cheminements piéton  / signaler les anomalies
Priorité aux véhicules</t>
  </si>
  <si>
    <t xml:space="preserve">electrisation </t>
  </si>
  <si>
    <t xml:space="preserve">Exposition aux risques electrique </t>
  </si>
  <si>
    <t>Court circuit</t>
  </si>
  <si>
    <t>tableau electrique fermé</t>
  </si>
  <si>
    <t xml:space="preserve">Core safety training : l'electricité </t>
  </si>
  <si>
    <t>Travaux de soudure</t>
  </si>
  <si>
    <t>Maintenance electrique BT</t>
  </si>
  <si>
    <t>01. Risques de chute de plain-pied (trébuchement, heurt ou autre perturbation de mouvement)</t>
  </si>
  <si>
    <t>02. Risques de chutes de hauteur</t>
  </si>
  <si>
    <t>03. Risques liés aux circulations internes de véhicules</t>
  </si>
  <si>
    <t>05. Risques liés à la manutention manuelle de charge</t>
  </si>
  <si>
    <t>13. Risques d'incendie, d'explosion</t>
  </si>
  <si>
    <t>14. Risques liés à l'électricité</t>
  </si>
  <si>
    <t>18. Risques liés au travail sur écran</t>
  </si>
  <si>
    <t>Déplacement zone peu fréquenté, sans visuel</t>
  </si>
  <si>
    <t xml:space="preserve">Ralentissement des secours </t>
  </si>
  <si>
    <t>Organisation du travail :constitution d’équipes ou de binômes
Moyens de communication: dispositifs d’alarme (DATI) 
Surveillance :des passages périodiques d’une autre personne
information : Former les travailleurs isolés sur les risques spécifiques à leur poste et les procédures à suivre en cas d’urgence</t>
  </si>
  <si>
    <t>Possibilité de mise à disposition de DATI ( application mobile sur smartphone)</t>
  </si>
  <si>
    <t>NA</t>
  </si>
  <si>
    <t xml:space="preserve">FDS des produits utilisés
Procedure substance dangeureuse COSH
Alayse de risque produit chimique Seirich
Respect strict des consignes de tri 
Produits sur rétention </t>
  </si>
  <si>
    <t>Consignation électrique préalable des pompes doseuses - Détenir et avoir lu la FDS des produits avant opération
Procedure substance dangeureuse COSH
Alayse de risque produit chimique Seirich
Les rejets sont récupérés dans des bidons identifiés
Les chiffons souillées sont considérés comme des DIS</t>
  </si>
  <si>
    <t xml:space="preserve">FDS des produits utilisés
Procedure substance dangeureuse COSH
Alayse de risque produit chimique Seirich
</t>
  </si>
  <si>
    <t>Coresafety training : manutention manuellle</t>
  </si>
  <si>
    <t xml:space="preserve">Utilisation d'un chariot pour le transort des sacs. 
Cutter interdit - utiliser un outil à lame rétractable pour l'ouverture des sacs </t>
  </si>
  <si>
    <t>Chariot
Vêtement de travail couvrant
Gants anticoupure 
vérifier les EPI recommandés de la FDS au préalable Rubrique 8  
Lunette de sécurité.</t>
  </si>
  <si>
    <t xml:space="preserve">
Vêtement de travail couvrant
Gants anticoupure 
vérifier les EPI recommandés de la FDS au préalable Rubrique 8  
Lunette de sécurité.</t>
  </si>
  <si>
    <t>Chute / glissade</t>
  </si>
  <si>
    <t>Risque de projection d'eau</t>
  </si>
  <si>
    <t>Chaussures de sécurité SRC3c/ vêtement de travail/ casquette de sécurité</t>
  </si>
  <si>
    <t xml:space="preserve">Analyse de risque avant travaux ou RAD
Vérification de l'équipement avant utilisation (état de conservation, présence de l'ensemble des pièces, stabilité)
Verification annuele reglementaire des harnais longes et mousquetons
Matériel ressencé et référencé
Permis de travail en hauteur 
EA : verification des compétences </t>
  </si>
  <si>
    <t>17. Risques Psychosociaux</t>
  </si>
  <si>
    <t>04. Risques routiers en mission</t>
  </si>
  <si>
    <t>08. Risques liés aux agents biologiques</t>
  </si>
  <si>
    <t>20. Risques liés aux rythmes de travail spécifiques (travail de nuit, équipe successive, etc.)</t>
  </si>
  <si>
    <t xml:space="preserve">equipements electriques defectueux  </t>
  </si>
  <si>
    <t>Procedure WKEQ</t>
  </si>
  <si>
    <t xml:space="preserve">07. Risques liés aux produits chimiques, aux émissions et aux déchets </t>
  </si>
  <si>
    <t>Exposition aux risques d'emissions</t>
  </si>
  <si>
    <t xml:space="preserve">
Casquette coquée
Chaussure de sécurité 
Gants chimique 
Lunettes de sécurité
</t>
  </si>
  <si>
    <t>Consignation éllectrique des pompes/équipement si necessaire 
Consignation hydraulique si possible</t>
  </si>
  <si>
    <t xml:space="preserve">Projection d'eau usée, intervention de plomberie </t>
  </si>
  <si>
    <t>19. Risques liés aux interventions en zones spécifiques (non destinées à la présence humaine, ou avec restriction d'accès)</t>
  </si>
  <si>
    <t>09. Risques liés aux équipements de travail</t>
  </si>
  <si>
    <t>12. Risques liés aux ambiances thermiques</t>
  </si>
  <si>
    <t>11. Risques et nuisances liés au bruit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</si>
</sst>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indexed="8"/>
      <name val="Calibri"/>
      <family val="2"/>
      <scheme val="minor"/>
    </font>
    <font>
      <b/>
      <sz val="11"/>
      <color theme="0"/>
      <name val="Calibri"/>
      <family val="2"/>
      <scheme val="minor"/>
    </font>
    <font>
      <sz val="11"/>
      <color theme="0"/>
      <name val="Calibri"/>
      <family val="2"/>
      <scheme val="minor"/>
    </font>
    <font>
      <b/>
      <sz val="11"/>
      <color indexed="8"/>
      <name val="Calibri"/>
      <family val="2"/>
      <scheme val="minor"/>
    </font>
    <font>
      <b/>
      <sz val="14"/>
      <color indexed="8"/>
      <name val="Calibri"/>
      <family val="2"/>
      <scheme val="minor"/>
    </font>
    <font>
      <sz val="9"/>
      <color indexed="8"/>
      <name val="Calibre"/>
      <family val="2"/>
    </font>
    <font>
      <sz val="8"/>
      <name val="Calibri"/>
      <family val="2"/>
      <scheme val="minor"/>
    </font>
    <font>
      <b/>
      <sz val="11"/>
      <name val="Arial"/>
      <family val="2"/>
    </font>
    <font>
      <b/>
      <sz val="10"/>
      <color indexed="8"/>
      <name val="Calibre"/>
      <family val="2"/>
    </font>
    <font>
      <sz val="9"/>
      <color theme="0"/>
      <name val="Calibre"/>
      <family val="2"/>
    </font>
    <font>
      <sz val="9"/>
      <color rgb="FF000000"/>
      <name val="Calibre"/>
      <family val="2"/>
    </font>
    <font>
      <sz val="10"/>
      <color theme="0"/>
      <name val="Arial"/>
      <family val="2"/>
    </font>
    <font>
      <b/>
      <sz val="10"/>
      <color indexed="9"/>
      <name val="Arial"/>
      <family val="2"/>
    </font>
    <font>
      <b/>
      <sz val="10"/>
      <name val="Arial"/>
      <family val="2"/>
    </font>
    <font>
      <sz val="14"/>
      <name val="Arial"/>
      <family val="2"/>
    </font>
    <font>
      <sz val="14"/>
      <color theme="0"/>
      <name val="Arial"/>
      <family val="2"/>
    </font>
    <font>
      <b/>
      <sz val="10"/>
      <color theme="0"/>
      <name val="Arial"/>
      <family val="2"/>
    </font>
    <font>
      <b/>
      <sz val="9"/>
      <color rgb="FF000000"/>
      <name val="Calibre"/>
      <family val="2"/>
    </font>
    <font>
      <b/>
      <sz val="14"/>
      <color theme="0"/>
      <name val="Calibri"/>
      <family val="2"/>
      <scheme val="minor"/>
    </font>
    <font>
      <b/>
      <sz val="9"/>
      <color theme="0"/>
      <name val="Calibre"/>
      <family val="2"/>
    </font>
    <font>
      <b/>
      <sz val="18"/>
      <color indexed="8"/>
      <name val="Calibri"/>
      <family val="2"/>
      <scheme val="minor"/>
    </font>
    <font>
      <sz val="10"/>
      <name val="Calibre"/>
      <family val="2"/>
    </font>
    <font>
      <sz val="16"/>
      <color rgb="FFFFFFFF"/>
      <name val="Futura MdCn BT"/>
      <family val="2"/>
    </font>
    <font>
      <sz val="16"/>
      <color rgb="FF69BE28"/>
      <name val="Futura XBlk BT"/>
      <family val="2"/>
    </font>
    <font>
      <sz val="11"/>
      <color theme="1"/>
      <name val="Arial"/>
      <family val="2"/>
    </font>
    <font>
      <b/>
      <sz val="10"/>
      <color theme="1"/>
      <name val="Arial"/>
      <family val="2"/>
    </font>
    <font>
      <sz val="14"/>
      <color indexed="8"/>
      <name val="Calibri"/>
      <family val="2"/>
      <scheme val="minor"/>
    </font>
    <font>
      <sz val="9"/>
      <color theme="0"/>
      <name val="Arial"/>
      <family val="2"/>
    </font>
    <font>
      <sz val="11"/>
      <color theme="1"/>
      <name val="Calibre"/>
      <family val="2"/>
    </font>
    <font>
      <b/>
      <sz val="11"/>
      <color theme="1"/>
      <name val="Calibre"/>
      <family val="2"/>
    </font>
    <font>
      <sz val="10"/>
      <color theme="1"/>
      <name val="Calibre"/>
      <family val="2"/>
    </font>
    <font>
      <sz val="14"/>
      <color theme="1"/>
      <name val="Calibre"/>
      <family val="2"/>
    </font>
    <font>
      <b/>
      <sz val="14"/>
      <color theme="1"/>
      <name val="Calibre"/>
      <family val="2"/>
    </font>
    <font>
      <sz val="11"/>
      <color indexed="8"/>
      <name val="Calibre"/>
      <family val="2"/>
    </font>
    <font>
      <sz val="10"/>
      <color theme="0"/>
      <name val="Calibre"/>
      <family val="2"/>
    </font>
    <font>
      <sz val="10"/>
      <color indexed="8"/>
      <name val="Calibre"/>
      <family val="2"/>
    </font>
    <font>
      <sz val="11"/>
      <color indexed="8"/>
      <name val="Calibri"/>
      <family val="2"/>
      <scheme val="minor"/>
    </font>
    <font>
      <sz val="8"/>
      <name val="Arial"/>
      <family val="2"/>
    </font>
    <font>
      <b/>
      <sz val="12"/>
      <color indexed="8"/>
      <name val="Calibre"/>
      <family val="2"/>
    </font>
    <font>
      <sz val="9"/>
      <name val="Calibre"/>
      <family val="2"/>
    </font>
    <font>
      <b/>
      <sz val="9"/>
      <name val="Calibre"/>
      <family val="2"/>
    </font>
    <font>
      <b/>
      <sz val="9"/>
      <color theme="0"/>
      <name val="Arial"/>
      <family val="2"/>
    </font>
    <font>
      <b/>
      <sz val="9"/>
      <color rgb="FFFF0000"/>
      <name val="Calibre"/>
      <family val="2"/>
    </font>
  </fonts>
  <fills count="1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theme="3" tint="0.79998168889431442"/>
        <bgColor indexed="64"/>
      </patternFill>
    </fill>
    <fill>
      <patternFill patternType="solid">
        <fgColor theme="1"/>
        <bgColor indexed="64"/>
      </patternFill>
    </fill>
    <fill>
      <patternFill patternType="solid">
        <fgColor indexed="8"/>
        <bgColor indexed="64"/>
      </patternFill>
    </fill>
    <fill>
      <patternFill patternType="solid">
        <fgColor rgb="FFFF6600"/>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006A4D"/>
        <bgColor indexed="64"/>
      </patternFill>
    </fill>
    <fill>
      <patternFill patternType="solid">
        <fgColor rgb="FFFF7C80"/>
        <bgColor indexed="64"/>
      </patternFill>
    </fill>
    <fill>
      <patternFill patternType="solid">
        <fgColor theme="7" tint="0.79998168889431442"/>
        <bgColor indexed="64"/>
      </patternFill>
    </fill>
    <fill>
      <patternFill patternType="solid">
        <fgColor theme="4" tint="0.79998168889431442"/>
        <bgColor indexed="64"/>
      </patternFill>
    </fill>
  </fills>
  <borders count="4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dotted">
        <color indexed="64"/>
      </bottom>
      <diagonal/>
    </border>
    <border>
      <left/>
      <right/>
      <top style="medium">
        <color indexed="64"/>
      </top>
      <bottom style="dotted">
        <color indexed="64"/>
      </bottom>
      <diagonal/>
    </border>
    <border>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right style="thin">
        <color indexed="64"/>
      </right>
      <top/>
      <bottom/>
      <diagonal/>
    </border>
    <border>
      <left style="thin">
        <color theme="0" tint="-0.24994659260841701"/>
      </left>
      <right style="thin">
        <color indexed="64"/>
      </right>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s>
  <cellStyleXfs count="2">
    <xf numFmtId="0" fontId="0" fillId="0" borderId="0"/>
    <xf numFmtId="0" fontId="36" fillId="0" borderId="0"/>
  </cellStyleXfs>
  <cellXfs count="173">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4" fillId="2" borderId="0" xfId="0" applyFont="1" applyFill="1"/>
    <xf numFmtId="0" fontId="4" fillId="0" borderId="0" xfId="0" applyFont="1"/>
    <xf numFmtId="0" fontId="4" fillId="0" borderId="2" xfId="0" applyFont="1" applyBorder="1"/>
    <xf numFmtId="0" fontId="5" fillId="2" borderId="0" xfId="0" applyFont="1" applyFill="1" applyAlignment="1">
      <alignment horizontal="left"/>
    </xf>
    <xf numFmtId="0" fontId="5" fillId="2" borderId="0" xfId="0" applyFont="1" applyFill="1"/>
    <xf numFmtId="0" fontId="10" fillId="0" borderId="0" xfId="0" applyFont="1" applyAlignment="1">
      <alignment vertical="center" wrapText="1"/>
    </xf>
    <xf numFmtId="0" fontId="5" fillId="0" borderId="0" xfId="0" applyFont="1"/>
    <xf numFmtId="0" fontId="5" fillId="2" borderId="2" xfId="0" applyFont="1" applyFill="1" applyBorder="1" applyAlignment="1">
      <alignment vertical="center"/>
    </xf>
    <xf numFmtId="0" fontId="5" fillId="0" borderId="6" xfId="0" applyFont="1" applyBorder="1" applyAlignment="1">
      <alignment horizontal="left" vertical="center"/>
    </xf>
    <xf numFmtId="0" fontId="2" fillId="7" borderId="0" xfId="0" applyFont="1" applyFill="1"/>
    <xf numFmtId="0" fontId="16" fillId="7" borderId="2" xfId="0" applyFont="1" applyFill="1" applyBorder="1" applyAlignment="1">
      <alignment horizontal="center" vertical="center"/>
    </xf>
    <xf numFmtId="0" fontId="16" fillId="7" borderId="3" xfId="0" applyFont="1" applyFill="1" applyBorder="1" applyAlignment="1">
      <alignment horizontal="center" vertical="center"/>
    </xf>
    <xf numFmtId="0" fontId="11" fillId="10" borderId="0" xfId="0" applyFont="1" applyFill="1" applyAlignment="1">
      <alignment horizontal="center"/>
    </xf>
    <xf numFmtId="0" fontId="14" fillId="5" borderId="0" xfId="0" applyFont="1" applyFill="1" applyAlignment="1">
      <alignment horizontal="center" vertical="center"/>
    </xf>
    <xf numFmtId="0" fontId="15" fillId="9" borderId="0" xfId="0" applyFont="1" applyFill="1" applyAlignment="1">
      <alignment horizontal="center" vertical="center"/>
    </xf>
    <xf numFmtId="0" fontId="15" fillId="3" borderId="0" xfId="0" applyFont="1" applyFill="1" applyAlignment="1">
      <alignment horizontal="center" vertical="center"/>
    </xf>
    <xf numFmtId="0" fontId="14" fillId="4" borderId="0" xfId="0" applyFont="1" applyFill="1" applyAlignment="1">
      <alignment horizontal="center" vertical="center"/>
    </xf>
    <xf numFmtId="0" fontId="13" fillId="2" borderId="0" xfId="0" applyFont="1" applyFill="1" applyAlignment="1">
      <alignment horizontal="center" vertical="center"/>
    </xf>
    <xf numFmtId="0" fontId="2" fillId="2" borderId="0" xfId="0" applyFont="1" applyFill="1"/>
    <xf numFmtId="0" fontId="1" fillId="2" borderId="0" xfId="0" applyFont="1" applyFill="1" applyAlignment="1">
      <alignment wrapText="1"/>
    </xf>
    <xf numFmtId="0" fontId="1" fillId="2" borderId="0" xfId="0" applyFont="1" applyFill="1" applyAlignment="1">
      <alignment horizontal="center"/>
    </xf>
    <xf numFmtId="0" fontId="18" fillId="2" borderId="0" xfId="0" applyFont="1" applyFill="1"/>
    <xf numFmtId="0" fontId="19" fillId="2" borderId="0" xfId="0" applyFont="1" applyFill="1" applyAlignment="1">
      <alignment horizontal="center" vertical="center"/>
    </xf>
    <xf numFmtId="0" fontId="9" fillId="2" borderId="0" xfId="0" applyFont="1" applyFill="1"/>
    <xf numFmtId="0" fontId="9" fillId="2" borderId="0" xfId="0" applyFont="1" applyFill="1" applyAlignment="1">
      <alignment horizontal="center"/>
    </xf>
    <xf numFmtId="0" fontId="3" fillId="0" borderId="0" xfId="0" applyFont="1" applyAlignment="1">
      <alignment wrapText="1"/>
    </xf>
    <xf numFmtId="0" fontId="5" fillId="0" borderId="2" xfId="0" applyFont="1" applyBorder="1" applyAlignment="1">
      <alignment horizontal="left" vertical="center"/>
    </xf>
    <xf numFmtId="0" fontId="10" fillId="2" borderId="8" xfId="0" applyFont="1" applyFill="1" applyBorder="1" applyAlignment="1">
      <alignment vertical="center" wrapText="1"/>
    </xf>
    <xf numFmtId="0" fontId="10" fillId="2" borderId="8" xfId="0" applyFont="1" applyFill="1" applyBorder="1" applyAlignment="1">
      <alignment horizontal="center" vertical="center" wrapText="1"/>
    </xf>
    <xf numFmtId="0" fontId="13" fillId="2" borderId="8" xfId="0" applyFont="1" applyFill="1" applyBorder="1" applyAlignment="1">
      <alignment horizontal="center" vertical="center" wrapText="1"/>
    </xf>
    <xf numFmtId="10" fontId="10" fillId="2" borderId="8" xfId="0" applyNumberFormat="1" applyFont="1" applyFill="1" applyBorder="1" applyAlignment="1">
      <alignment horizontal="center" vertical="center" wrapText="1"/>
    </xf>
    <xf numFmtId="0" fontId="10" fillId="2" borderId="9" xfId="0" applyFont="1" applyFill="1" applyBorder="1" applyAlignment="1">
      <alignment vertical="center" wrapText="1"/>
    </xf>
    <xf numFmtId="0" fontId="17" fillId="2" borderId="8" xfId="0" applyFont="1" applyFill="1" applyBorder="1" applyAlignment="1">
      <alignment horizontal="center" vertical="center" wrapText="1"/>
    </xf>
    <xf numFmtId="0" fontId="5" fillId="0" borderId="3" xfId="0" applyFont="1" applyBorder="1" applyAlignment="1">
      <alignment horizontal="left" vertical="center"/>
    </xf>
    <xf numFmtId="0" fontId="5" fillId="2" borderId="0" xfId="0" applyFont="1" applyFill="1" applyAlignment="1">
      <alignment horizontal="left" vertical="center" wrapText="1"/>
    </xf>
    <xf numFmtId="0" fontId="3" fillId="2" borderId="0" xfId="0" applyFont="1" applyFill="1"/>
    <xf numFmtId="0" fontId="25" fillId="0" borderId="25"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26" xfId="0" applyFont="1" applyBorder="1" applyAlignment="1">
      <alignment horizontal="center" vertical="center" wrapText="1"/>
    </xf>
    <xf numFmtId="0" fontId="26" fillId="2" borderId="0" xfId="0" applyFont="1" applyFill="1"/>
    <xf numFmtId="0" fontId="24" fillId="2" borderId="0" xfId="0" applyFont="1" applyFill="1" applyAlignment="1">
      <alignment horizontal="center" vertical="center"/>
    </xf>
    <xf numFmtId="0" fontId="24" fillId="2" borderId="0" xfId="0" applyFont="1" applyFill="1"/>
    <xf numFmtId="0" fontId="10" fillId="2" borderId="35" xfId="0" applyFont="1" applyFill="1" applyBorder="1" applyAlignment="1">
      <alignment vertical="center" wrapText="1"/>
    </xf>
    <xf numFmtId="0" fontId="10" fillId="2" borderId="35" xfId="0" applyFont="1" applyFill="1" applyBorder="1" applyAlignment="1">
      <alignment horizontal="center" vertical="center" wrapText="1"/>
    </xf>
    <xf numFmtId="0" fontId="17" fillId="2" borderId="35"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0" fillId="2" borderId="36" xfId="0" applyFont="1" applyFill="1" applyBorder="1" applyAlignment="1">
      <alignment vertical="center" wrapText="1"/>
    </xf>
    <xf numFmtId="10" fontId="10" fillId="2" borderId="35" xfId="0" applyNumberFormat="1" applyFont="1" applyFill="1" applyBorder="1" applyAlignment="1">
      <alignment horizontal="center" vertical="center" wrapText="1"/>
    </xf>
    <xf numFmtId="0" fontId="27" fillId="12" borderId="0" xfId="0" applyFont="1" applyFill="1" applyAlignment="1">
      <alignment horizontal="center" vertical="center" wrapText="1"/>
    </xf>
    <xf numFmtId="9" fontId="19" fillId="12" borderId="2" xfId="0" applyNumberFormat="1" applyFont="1" applyFill="1" applyBorder="1" applyAlignment="1">
      <alignment horizontal="center" vertical="center" wrapText="1"/>
    </xf>
    <xf numFmtId="0" fontId="19" fillId="12" borderId="2" xfId="0" applyFont="1" applyFill="1" applyBorder="1" applyAlignment="1">
      <alignment horizontal="center" vertical="center" wrapText="1"/>
    </xf>
    <xf numFmtId="0" fontId="5" fillId="0" borderId="3" xfId="0" applyFont="1" applyBorder="1" applyAlignment="1">
      <alignment vertical="center"/>
    </xf>
    <xf numFmtId="0" fontId="5" fillId="0" borderId="2" xfId="0" applyFont="1" applyBorder="1" applyAlignment="1">
      <alignment vertical="center"/>
    </xf>
    <xf numFmtId="0" fontId="5" fillId="2" borderId="2" xfId="0" applyFont="1" applyFill="1" applyBorder="1" applyAlignment="1">
      <alignment vertical="center" wrapText="1"/>
    </xf>
    <xf numFmtId="0" fontId="5" fillId="2" borderId="1" xfId="0" applyFont="1" applyFill="1" applyBorder="1" applyAlignment="1">
      <alignment vertical="center" wrapText="1"/>
    </xf>
    <xf numFmtId="0" fontId="11" fillId="7" borderId="2" xfId="0" applyFont="1" applyFill="1" applyBorder="1" applyAlignment="1">
      <alignment horizontal="left"/>
    </xf>
    <xf numFmtId="9" fontId="19" fillId="12" borderId="1" xfId="0" applyNumberFormat="1" applyFont="1" applyFill="1" applyBorder="1" applyAlignment="1">
      <alignment horizontal="center" vertical="center" wrapText="1"/>
    </xf>
    <xf numFmtId="0" fontId="19" fillId="2" borderId="0" xfId="0" applyFont="1" applyFill="1" applyAlignment="1">
      <alignment horizontal="center" vertical="center" wrapText="1"/>
    </xf>
    <xf numFmtId="0" fontId="5" fillId="2" borderId="0" xfId="0" applyFont="1" applyFill="1" applyAlignment="1">
      <alignment horizontal="left" vertical="center"/>
    </xf>
    <xf numFmtId="0" fontId="28" fillId="2" borderId="2" xfId="0" applyFont="1" applyFill="1" applyBorder="1" applyAlignment="1">
      <alignment horizontal="left" vertical="center" wrapText="1"/>
    </xf>
    <xf numFmtId="0" fontId="28" fillId="2" borderId="3" xfId="0" applyFont="1" applyFill="1" applyBorder="1" applyAlignment="1">
      <alignment vertical="center" wrapText="1"/>
    </xf>
    <xf numFmtId="0" fontId="28" fillId="6" borderId="5" xfId="0" applyFont="1" applyFill="1" applyBorder="1" applyAlignment="1">
      <alignment vertical="center" wrapText="1"/>
    </xf>
    <xf numFmtId="9" fontId="17" fillId="6" borderId="37" xfId="0" applyNumberFormat="1" applyFont="1" applyFill="1" applyBorder="1" applyAlignment="1">
      <alignment vertical="center" wrapText="1"/>
    </xf>
    <xf numFmtId="9" fontId="17" fillId="6" borderId="10" xfId="0" applyNumberFormat="1" applyFont="1" applyFill="1" applyBorder="1" applyAlignment="1">
      <alignment vertical="center" wrapText="1"/>
    </xf>
    <xf numFmtId="0" fontId="28" fillId="2" borderId="2" xfId="0" applyFont="1" applyFill="1" applyBorder="1" applyAlignment="1">
      <alignment vertical="center" wrapText="1"/>
    </xf>
    <xf numFmtId="0" fontId="4" fillId="2" borderId="0" xfId="0" applyFont="1" applyFill="1" applyAlignment="1">
      <alignment horizontal="center"/>
    </xf>
    <xf numFmtId="0" fontId="30" fillId="2" borderId="16" xfId="0" applyFont="1" applyFill="1" applyBorder="1" applyAlignment="1">
      <alignment horizontal="left" vertical="top"/>
    </xf>
    <xf numFmtId="0" fontId="30" fillId="2" borderId="17" xfId="0" applyFont="1" applyFill="1" applyBorder="1" applyAlignment="1">
      <alignment horizontal="left" vertical="top"/>
    </xf>
    <xf numFmtId="0" fontId="30" fillId="2" borderId="18" xfId="0" applyFont="1" applyFill="1" applyBorder="1" applyAlignment="1">
      <alignment horizontal="left" vertical="top"/>
    </xf>
    <xf numFmtId="0" fontId="30" fillId="2" borderId="19" xfId="0" applyFont="1" applyFill="1" applyBorder="1" applyAlignment="1">
      <alignment horizontal="left" vertical="top"/>
    </xf>
    <xf numFmtId="0" fontId="30" fillId="2" borderId="20" xfId="0" applyFont="1" applyFill="1" applyBorder="1" applyAlignment="1">
      <alignment horizontal="left" vertical="top"/>
    </xf>
    <xf numFmtId="0" fontId="30" fillId="2" borderId="21" xfId="0" applyFont="1" applyFill="1" applyBorder="1" applyAlignment="1">
      <alignment horizontal="left" vertical="top"/>
    </xf>
    <xf numFmtId="0" fontId="30" fillId="2" borderId="22" xfId="0" applyFont="1" applyFill="1" applyBorder="1" applyAlignment="1">
      <alignment horizontal="left" vertical="top"/>
    </xf>
    <xf numFmtId="0" fontId="30" fillId="2" borderId="23" xfId="0" applyFont="1" applyFill="1" applyBorder="1" applyAlignment="1">
      <alignment horizontal="left" vertical="top"/>
    </xf>
    <xf numFmtId="0" fontId="30" fillId="2" borderId="24" xfId="0" applyFont="1" applyFill="1" applyBorder="1" applyAlignment="1">
      <alignment horizontal="left" vertical="top"/>
    </xf>
    <xf numFmtId="0" fontId="33" fillId="2" borderId="0" xfId="0" applyFont="1" applyFill="1"/>
    <xf numFmtId="0" fontId="34" fillId="12" borderId="11" xfId="0" applyFont="1" applyFill="1" applyBorder="1" applyAlignment="1">
      <alignment horizontal="center" vertical="center" wrapText="1"/>
    </xf>
    <xf numFmtId="0" fontId="30" fillId="0" borderId="30" xfId="0" applyFont="1" applyBorder="1" applyAlignment="1">
      <alignment vertical="center"/>
    </xf>
    <xf numFmtId="14" fontId="35" fillId="0" borderId="2" xfId="0" applyNumberFormat="1" applyFont="1" applyBorder="1" applyAlignment="1">
      <alignment horizontal="center" vertical="center"/>
    </xf>
    <xf numFmtId="0" fontId="30" fillId="0" borderId="31" xfId="0" applyFont="1" applyBorder="1" applyAlignment="1">
      <alignment horizontal="center" vertical="center"/>
    </xf>
    <xf numFmtId="0" fontId="30" fillId="0" borderId="30" xfId="0" quotePrefix="1" applyFont="1" applyBorder="1" applyAlignment="1">
      <alignment vertical="center"/>
    </xf>
    <xf numFmtId="0" fontId="30" fillId="0" borderId="31" xfId="0" applyFont="1" applyBorder="1" applyAlignment="1">
      <alignment horizontal="left" vertical="top" wrapText="1"/>
    </xf>
    <xf numFmtId="0" fontId="30" fillId="0" borderId="32" xfId="0" applyFont="1" applyBorder="1" applyAlignment="1">
      <alignment vertical="center"/>
    </xf>
    <xf numFmtId="0" fontId="35" fillId="0" borderId="33" xfId="0" applyFont="1" applyBorder="1"/>
    <xf numFmtId="0" fontId="30" fillId="0" borderId="34" xfId="0" applyFont="1" applyBorder="1" applyAlignment="1">
      <alignment horizontal="left" vertical="center" wrapText="1"/>
    </xf>
    <xf numFmtId="0" fontId="34" fillId="12" borderId="27" xfId="0" applyFont="1" applyFill="1" applyBorder="1" applyAlignment="1">
      <alignment horizontal="center" vertical="center" wrapText="1"/>
    </xf>
    <xf numFmtId="0" fontId="34" fillId="12" borderId="28" xfId="0" applyFont="1" applyFill="1" applyBorder="1" applyAlignment="1">
      <alignment horizontal="center" vertical="center" wrapText="1"/>
    </xf>
    <xf numFmtId="0" fontId="34" fillId="12" borderId="29" xfId="0" applyFont="1" applyFill="1" applyBorder="1" applyAlignment="1">
      <alignment horizontal="center" vertical="center" wrapText="1"/>
    </xf>
    <xf numFmtId="14" fontId="0" fillId="6" borderId="0" xfId="0" applyNumberFormat="1" applyFill="1" applyAlignment="1">
      <alignment horizontal="center" vertical="center"/>
    </xf>
    <xf numFmtId="0" fontId="0" fillId="2" borderId="0" xfId="0" applyFill="1" applyAlignment="1">
      <alignment horizontal="center" vertical="center"/>
    </xf>
    <xf numFmtId="0" fontId="0" fillId="6" borderId="0" xfId="0" applyFill="1" applyAlignment="1">
      <alignment horizontal="center" vertical="center"/>
    </xf>
    <xf numFmtId="0" fontId="30" fillId="2" borderId="38" xfId="0" applyFont="1" applyFill="1" applyBorder="1" applyAlignment="1">
      <alignment horizontal="left" vertical="top"/>
    </xf>
    <xf numFmtId="0" fontId="30" fillId="2" borderId="39" xfId="0" applyFont="1" applyFill="1" applyBorder="1" applyAlignment="1">
      <alignment horizontal="left" vertical="top"/>
    </xf>
    <xf numFmtId="0" fontId="30" fillId="2" borderId="40" xfId="0" applyFont="1" applyFill="1" applyBorder="1" applyAlignment="1">
      <alignment horizontal="left" vertical="top"/>
    </xf>
    <xf numFmtId="0" fontId="37" fillId="2" borderId="18" xfId="0" applyFont="1" applyFill="1" applyBorder="1" applyAlignment="1">
      <alignment horizontal="center" vertical="center" wrapText="1"/>
    </xf>
    <xf numFmtId="0" fontId="37" fillId="2" borderId="21" xfId="0" applyFont="1" applyFill="1" applyBorder="1" applyAlignment="1">
      <alignment horizontal="center" vertical="center" wrapText="1"/>
    </xf>
    <xf numFmtId="0" fontId="37" fillId="2" borderId="24" xfId="0" applyFont="1" applyFill="1" applyBorder="1" applyAlignment="1">
      <alignment horizontal="center" vertical="center" wrapText="1"/>
    </xf>
    <xf numFmtId="0" fontId="17" fillId="6" borderId="42" xfId="0" applyFont="1" applyFill="1" applyBorder="1" applyAlignment="1">
      <alignment vertical="center" wrapText="1"/>
    </xf>
    <xf numFmtId="0" fontId="17" fillId="6" borderId="43" xfId="0" applyFont="1" applyFill="1" applyBorder="1" applyAlignment="1">
      <alignment vertical="center" wrapText="1"/>
    </xf>
    <xf numFmtId="0" fontId="17" fillId="6" borderId="35" xfId="0" applyFont="1" applyFill="1" applyBorder="1" applyAlignment="1">
      <alignment horizontal="center" vertical="center" wrapText="1"/>
    </xf>
    <xf numFmtId="0" fontId="17" fillId="6" borderId="8"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17" fillId="6" borderId="37" xfId="0" applyFont="1" applyFill="1" applyBorder="1" applyAlignment="1">
      <alignment horizontal="center" vertical="center" wrapText="1"/>
    </xf>
    <xf numFmtId="0" fontId="39" fillId="2" borderId="8" xfId="0" applyFont="1" applyFill="1" applyBorder="1" applyAlignment="1">
      <alignment vertical="center" wrapText="1"/>
    </xf>
    <xf numFmtId="0" fontId="40" fillId="6" borderId="43" xfId="0" applyFont="1" applyFill="1" applyBorder="1" applyAlignment="1">
      <alignment vertical="center" wrapText="1"/>
    </xf>
    <xf numFmtId="0" fontId="17" fillId="6" borderId="36" xfId="0" applyFont="1" applyFill="1" applyBorder="1" applyAlignment="1">
      <alignment horizontal="center" vertical="center" wrapText="1"/>
    </xf>
    <xf numFmtId="0" fontId="10" fillId="2" borderId="10" xfId="0" applyFont="1" applyFill="1" applyBorder="1" applyAlignment="1">
      <alignment vertical="center" wrapText="1"/>
    </xf>
    <xf numFmtId="0" fontId="10" fillId="2" borderId="44" xfId="0" applyFont="1" applyFill="1" applyBorder="1" applyAlignment="1">
      <alignment vertical="center" wrapText="1"/>
    </xf>
    <xf numFmtId="0" fontId="10" fillId="2" borderId="44" xfId="0" applyFont="1" applyFill="1" applyBorder="1" applyAlignment="1">
      <alignment horizontal="center" vertical="center" wrapText="1"/>
    </xf>
    <xf numFmtId="0" fontId="19" fillId="0" borderId="0" xfId="0" applyFont="1" applyAlignment="1">
      <alignment vertical="center" wrapText="1"/>
    </xf>
    <xf numFmtId="0" fontId="41" fillId="12" borderId="0" xfId="0" applyFont="1" applyFill="1" applyAlignment="1">
      <alignment horizontal="center" vertical="center" wrapText="1"/>
    </xf>
    <xf numFmtId="0" fontId="41" fillId="12" borderId="41" xfId="0" applyFont="1" applyFill="1" applyBorder="1" applyAlignment="1">
      <alignment horizontal="center" vertical="center" wrapText="1"/>
    </xf>
    <xf numFmtId="0" fontId="41" fillId="12" borderId="0" xfId="0" applyFont="1" applyFill="1" applyAlignment="1">
      <alignment horizontal="center" vertical="center" textRotation="90" wrapText="1"/>
    </xf>
    <xf numFmtId="0" fontId="41" fillId="0" borderId="0" xfId="0" applyFont="1" applyAlignment="1">
      <alignment horizontal="center" vertical="center" wrapText="1"/>
    </xf>
    <xf numFmtId="0" fontId="22" fillId="12" borderId="0" xfId="0" applyFont="1" applyFill="1" applyAlignment="1">
      <alignment horizontal="center" vertical="center" wrapText="1"/>
    </xf>
    <xf numFmtId="0" fontId="23" fillId="12" borderId="0" xfId="0" applyFont="1" applyFill="1" applyAlignment="1">
      <alignment horizontal="center" vertical="center" wrapText="1"/>
    </xf>
    <xf numFmtId="0" fontId="41" fillId="12" borderId="7" xfId="0" applyFont="1" applyFill="1" applyBorder="1" applyAlignment="1">
      <alignment horizontal="center" vertical="center" wrapText="1"/>
    </xf>
    <xf numFmtId="0" fontId="5" fillId="2" borderId="0" xfId="0" applyFont="1" applyFill="1" applyAlignment="1">
      <alignment horizontal="left" vertical="center" wrapText="1"/>
    </xf>
    <xf numFmtId="0" fontId="20" fillId="11" borderId="0" xfId="0" applyFont="1" applyFill="1" applyAlignment="1">
      <alignment horizontal="center" wrapText="1"/>
    </xf>
    <xf numFmtId="0" fontId="38" fillId="6" borderId="0" xfId="0" applyFont="1" applyFill="1" applyAlignment="1">
      <alignment horizontal="center" vertical="center"/>
    </xf>
    <xf numFmtId="0" fontId="4" fillId="0" borderId="0" xfId="0" applyFont="1" applyAlignment="1">
      <alignment horizontal="center"/>
    </xf>
    <xf numFmtId="0" fontId="28" fillId="2" borderId="4" xfId="0" applyFont="1" applyFill="1" applyBorder="1" applyAlignment="1">
      <alignment horizontal="center" vertical="center" wrapText="1"/>
    </xf>
    <xf numFmtId="0" fontId="28" fillId="2" borderId="5" xfId="0" applyFont="1" applyFill="1" applyBorder="1" applyAlignment="1">
      <alignment horizontal="center" vertical="center" wrapText="1"/>
    </xf>
    <xf numFmtId="0" fontId="4" fillId="6" borderId="0" xfId="0" applyFont="1" applyFill="1" applyAlignment="1">
      <alignment horizontal="center"/>
    </xf>
    <xf numFmtId="0" fontId="0" fillId="6" borderId="0" xfId="0" applyFill="1" applyAlignment="1">
      <alignment horizontal="center" vertical="center"/>
    </xf>
    <xf numFmtId="0" fontId="29" fillId="0" borderId="12" xfId="0" applyFont="1" applyBorder="1" applyAlignment="1">
      <alignment horizontal="center" vertical="center" wrapText="1"/>
    </xf>
    <xf numFmtId="0" fontId="29" fillId="0" borderId="13" xfId="0" applyFont="1" applyBorder="1" applyAlignment="1">
      <alignment horizontal="center" vertical="center" wrapText="1"/>
    </xf>
    <xf numFmtId="0" fontId="34" fillId="12" borderId="12" xfId="0" applyFont="1" applyFill="1" applyBorder="1" applyAlignment="1">
      <alignment horizontal="center" vertical="center" wrapText="1"/>
    </xf>
    <xf numFmtId="0" fontId="34" fillId="12" borderId="13" xfId="0" applyFont="1" applyFill="1" applyBorder="1" applyAlignment="1">
      <alignment horizontal="center" vertical="center" wrapText="1"/>
    </xf>
    <xf numFmtId="0" fontId="34" fillId="12" borderId="14" xfId="0" applyFont="1" applyFill="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30" fillId="0" borderId="33" xfId="0" applyFont="1" applyBorder="1" applyAlignment="1">
      <alignment vertical="center" wrapText="1"/>
    </xf>
    <xf numFmtId="0" fontId="34" fillId="12" borderId="28" xfId="0" applyFont="1" applyFill="1" applyBorder="1" applyAlignment="1">
      <alignment horizontal="center" vertical="center" wrapText="1"/>
    </xf>
    <xf numFmtId="0" fontId="30" fillId="0" borderId="3" xfId="0" applyFont="1" applyBorder="1" applyAlignment="1">
      <alignment horizontal="center" vertical="center"/>
    </xf>
    <xf numFmtId="0" fontId="30" fillId="0" borderId="5" xfId="0" applyFont="1" applyBorder="1" applyAlignment="1">
      <alignment horizontal="center" vertical="center"/>
    </xf>
    <xf numFmtId="0" fontId="30" fillId="0" borderId="2" xfId="0" applyFont="1" applyBorder="1" applyAlignment="1">
      <alignment horizontal="center" vertical="center"/>
    </xf>
    <xf numFmtId="0" fontId="30" fillId="0" borderId="33" xfId="0" applyFont="1" applyBorder="1" applyAlignment="1">
      <alignment horizontal="center" vertical="center"/>
    </xf>
    <xf numFmtId="0" fontId="30" fillId="0" borderId="2" xfId="0" applyFont="1" applyBorder="1" applyAlignment="1">
      <alignment vertical="center" wrapText="1"/>
    </xf>
    <xf numFmtId="0" fontId="8" fillId="0" borderId="2" xfId="0" applyFont="1" applyBorder="1" applyAlignment="1">
      <alignment horizontal="center"/>
    </xf>
    <xf numFmtId="0" fontId="2" fillId="10" borderId="0" xfId="0" applyFont="1" applyFill="1" applyAlignment="1">
      <alignment horizontal="center"/>
    </xf>
    <xf numFmtId="0" fontId="12" fillId="8" borderId="7" xfId="0" applyFont="1" applyFill="1" applyBorder="1" applyAlignment="1">
      <alignment horizontal="center" vertical="center"/>
    </xf>
    <xf numFmtId="0" fontId="12" fillId="8" borderId="0" xfId="0" applyFont="1" applyFill="1" applyAlignment="1">
      <alignment horizontal="center" vertical="center"/>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5" fillId="0" borderId="2" xfId="0" applyFont="1" applyBorder="1" applyAlignment="1">
      <alignment horizontal="left" vertical="center"/>
    </xf>
    <xf numFmtId="0" fontId="7" fillId="0" borderId="3" xfId="0" applyFont="1" applyBorder="1" applyAlignment="1">
      <alignment horizontal="center"/>
    </xf>
    <xf numFmtId="0" fontId="7" fillId="0" borderId="4" xfId="0" applyFont="1" applyBorder="1" applyAlignment="1">
      <alignment horizontal="center"/>
    </xf>
    <xf numFmtId="0" fontId="7" fillId="0" borderId="5" xfId="0" applyFont="1" applyBorder="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2" borderId="5" xfId="0" applyFont="1" applyFill="1" applyBorder="1" applyAlignment="1">
      <alignment horizontal="center"/>
    </xf>
    <xf numFmtId="0" fontId="28" fillId="13" borderId="2" xfId="0" applyFont="1" applyFill="1" applyBorder="1" applyAlignment="1">
      <alignment horizontal="left" vertical="center" wrapText="1"/>
    </xf>
    <xf numFmtId="0" fontId="10" fillId="13" borderId="35" xfId="0" applyFont="1" applyFill="1" applyBorder="1" applyAlignment="1">
      <alignment vertical="center" wrapText="1"/>
    </xf>
    <xf numFmtId="0" fontId="10" fillId="13" borderId="8" xfId="0" applyFont="1" applyFill="1" applyBorder="1" applyAlignment="1">
      <alignment vertical="center" wrapText="1"/>
    </xf>
    <xf numFmtId="0" fontId="10" fillId="13" borderId="44" xfId="0" applyFont="1" applyFill="1" applyBorder="1" applyAlignment="1">
      <alignment vertical="center" wrapText="1"/>
    </xf>
    <xf numFmtId="0" fontId="10" fillId="14" borderId="36" xfId="0" applyFont="1" applyFill="1" applyBorder="1" applyAlignment="1">
      <alignment vertical="center" wrapText="1"/>
    </xf>
    <xf numFmtId="0" fontId="10" fillId="14" borderId="8" xfId="0" applyFont="1" applyFill="1" applyBorder="1" applyAlignment="1">
      <alignment vertical="center" wrapText="1"/>
    </xf>
    <xf numFmtId="0" fontId="10" fillId="14" borderId="9" xfId="0" applyFont="1" applyFill="1" applyBorder="1" applyAlignment="1">
      <alignment vertical="center" wrapText="1"/>
    </xf>
    <xf numFmtId="0" fontId="10" fillId="14" borderId="0" xfId="0" applyFont="1" applyFill="1" applyAlignment="1">
      <alignment vertical="center" wrapText="1"/>
    </xf>
    <xf numFmtId="0" fontId="10" fillId="14" borderId="8" xfId="0" applyFont="1" applyFill="1" applyBorder="1" applyAlignment="1">
      <alignment horizontal="center" vertical="center" wrapText="1"/>
    </xf>
    <xf numFmtId="0" fontId="17" fillId="14" borderId="8" xfId="0" applyFont="1" applyFill="1" applyBorder="1" applyAlignment="1">
      <alignment horizontal="center" vertical="center" wrapText="1"/>
    </xf>
    <xf numFmtId="0" fontId="0" fillId="14" borderId="0" xfId="0" applyFill="1" applyAlignment="1">
      <alignment wrapText="1"/>
    </xf>
    <xf numFmtId="0" fontId="10" fillId="15" borderId="8" xfId="0" applyFont="1" applyFill="1" applyBorder="1" applyAlignment="1">
      <alignment vertical="center" wrapText="1"/>
    </xf>
    <xf numFmtId="0" fontId="10" fillId="14" borderId="35" xfId="0" applyFont="1" applyFill="1" applyBorder="1" applyAlignment="1">
      <alignment vertical="center" wrapText="1"/>
    </xf>
    <xf numFmtId="0" fontId="39" fillId="14" borderId="8" xfId="0" applyFont="1" applyFill="1" applyBorder="1" applyAlignment="1">
      <alignment vertical="center" wrapText="1"/>
    </xf>
  </cellXfs>
  <cellStyles count="2">
    <cellStyle name="Normal" xfId="0" builtinId="0"/>
    <cellStyle name="Normal 2" xfId="1" xr:uid="{2A9AABA5-6362-4A4B-82B7-3384C163385B}"/>
  </cellStyles>
  <dxfs count="8">
    <dxf>
      <font>
        <b/>
        <i val="0"/>
        <color theme="0"/>
      </font>
      <fill>
        <patternFill>
          <bgColor rgb="FFFF0000"/>
        </patternFill>
      </fill>
    </dxf>
    <dxf>
      <font>
        <b/>
        <i val="0"/>
        <color theme="0"/>
      </font>
      <fill>
        <patternFill>
          <bgColor rgb="FFFF6600"/>
        </patternFill>
      </fill>
    </dxf>
    <dxf>
      <font>
        <b/>
        <i val="0"/>
      </font>
      <fill>
        <patternFill>
          <bgColor rgb="FFFFC000"/>
        </patternFill>
      </fill>
    </dxf>
    <dxf>
      <font>
        <b/>
        <i val="0"/>
      </font>
      <fill>
        <patternFill>
          <bgColor rgb="FF00B050"/>
        </patternFill>
      </fill>
    </dxf>
    <dxf>
      <font>
        <b/>
        <i val="0"/>
        <color theme="0"/>
      </font>
      <fill>
        <patternFill>
          <bgColor rgb="FFFF0000"/>
        </patternFill>
      </fill>
    </dxf>
    <dxf>
      <font>
        <b/>
        <i val="0"/>
        <color theme="0"/>
      </font>
      <fill>
        <patternFill>
          <bgColor rgb="FFFF6600"/>
        </patternFill>
      </fill>
    </dxf>
    <dxf>
      <font>
        <b/>
        <i val="0"/>
      </font>
      <fill>
        <patternFill>
          <bgColor rgb="FFFFC000"/>
        </patternFill>
      </fill>
    </dxf>
    <dxf>
      <font>
        <b/>
        <i val="0"/>
      </font>
      <fill>
        <patternFill>
          <bgColor rgb="FF00B050"/>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285750</xdr:rowOff>
    </xdr:from>
    <xdr:to>
      <xdr:col>8</xdr:col>
      <xdr:colOff>0</xdr:colOff>
      <xdr:row>1</xdr:row>
      <xdr:rowOff>1123950</xdr:rowOff>
    </xdr:to>
    <xdr:sp macro="" textlink="">
      <xdr:nvSpPr>
        <xdr:cNvPr id="3" name="Forme libre : forme 2">
          <a:extLst>
            <a:ext uri="{FF2B5EF4-FFF2-40B4-BE49-F238E27FC236}">
              <a16:creationId xmlns:a16="http://schemas.microsoft.com/office/drawing/2014/main" id="{17AE3617-FF40-4FE7-90D2-A4EC5C6A6CD6}"/>
            </a:ext>
          </a:extLst>
        </xdr:cNvPr>
        <xdr:cNvSpPr>
          <a:spLocks/>
        </xdr:cNvSpPr>
      </xdr:nvSpPr>
      <xdr:spPr bwMode="auto">
        <a:xfrm>
          <a:off x="20124420" y="461010"/>
          <a:ext cx="804545" cy="838200"/>
        </a:xfrm>
        <a:custGeom>
          <a:avLst/>
          <a:gdLst>
            <a:gd name="T0" fmla="*/ 864 w 866"/>
            <a:gd name="T1" fmla="*/ 1162 h 1527"/>
            <a:gd name="T2" fmla="*/ 852 w 866"/>
            <a:gd name="T3" fmla="*/ 1161 h 1527"/>
            <a:gd name="T4" fmla="*/ 745 w 866"/>
            <a:gd name="T5" fmla="*/ 1155 h 1527"/>
            <a:gd name="T6" fmla="*/ 365 w 866"/>
            <a:gd name="T7" fmla="*/ 751 h 1527"/>
            <a:gd name="T8" fmla="*/ 732 w 866"/>
            <a:gd name="T9" fmla="*/ 355 h 1527"/>
            <a:gd name="T10" fmla="*/ 852 w 866"/>
            <a:gd name="T11" fmla="*/ 349 h 1527"/>
            <a:gd name="T12" fmla="*/ 865 w 866"/>
            <a:gd name="T13" fmla="*/ 348 h 1527"/>
            <a:gd name="T14" fmla="*/ 866 w 866"/>
            <a:gd name="T15" fmla="*/ 0 h 1527"/>
            <a:gd name="T16" fmla="*/ 853 w 866"/>
            <a:gd name="T17" fmla="*/ 0 h 1527"/>
            <a:gd name="T18" fmla="*/ 769 w 866"/>
            <a:gd name="T19" fmla="*/ 1 h 1527"/>
            <a:gd name="T20" fmla="*/ 451 w 866"/>
            <a:gd name="T21" fmla="*/ 64 h 1527"/>
            <a:gd name="T22" fmla="*/ 150 w 866"/>
            <a:gd name="T23" fmla="*/ 307 h 1527"/>
            <a:gd name="T24" fmla="*/ 0 w 866"/>
            <a:gd name="T25" fmla="*/ 759 h 1527"/>
            <a:gd name="T26" fmla="*/ 12 w 866"/>
            <a:gd name="T27" fmla="*/ 916 h 1527"/>
            <a:gd name="T28" fmla="*/ 429 w 866"/>
            <a:gd name="T29" fmla="*/ 1443 h 1527"/>
            <a:gd name="T30" fmla="*/ 826 w 866"/>
            <a:gd name="T31" fmla="*/ 1526 h 1527"/>
            <a:gd name="T32" fmla="*/ 865 w 866"/>
            <a:gd name="T33" fmla="*/ 1527 h 15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866" h="1527">
              <a:moveTo>
                <a:pt x="864" y="1162"/>
              </a:moveTo>
              <a:cubicBezTo>
                <a:pt x="852" y="1161"/>
                <a:pt x="852" y="1161"/>
                <a:pt x="852" y="1161"/>
              </a:cubicBezTo>
              <a:cubicBezTo>
                <a:pt x="828" y="1160"/>
                <a:pt x="809" y="1161"/>
                <a:pt x="745" y="1155"/>
              </a:cubicBezTo>
              <a:cubicBezTo>
                <a:pt x="466" y="1128"/>
                <a:pt x="365" y="920"/>
                <a:pt x="365" y="751"/>
              </a:cubicBezTo>
              <a:cubicBezTo>
                <a:pt x="365" y="540"/>
                <a:pt x="506" y="389"/>
                <a:pt x="732" y="355"/>
              </a:cubicBezTo>
              <a:cubicBezTo>
                <a:pt x="766" y="350"/>
                <a:pt x="828" y="349"/>
                <a:pt x="852" y="349"/>
              </a:cubicBezTo>
              <a:cubicBezTo>
                <a:pt x="865" y="348"/>
                <a:pt x="865" y="348"/>
                <a:pt x="865" y="348"/>
              </a:cubicBezTo>
              <a:cubicBezTo>
                <a:pt x="866" y="0"/>
                <a:pt x="866" y="0"/>
                <a:pt x="866" y="0"/>
              </a:cubicBezTo>
              <a:cubicBezTo>
                <a:pt x="853" y="0"/>
                <a:pt x="853" y="0"/>
                <a:pt x="853" y="0"/>
              </a:cubicBezTo>
              <a:cubicBezTo>
                <a:pt x="769" y="1"/>
                <a:pt x="769" y="1"/>
                <a:pt x="769" y="1"/>
              </a:cubicBezTo>
              <a:cubicBezTo>
                <a:pt x="696" y="6"/>
                <a:pt x="575" y="13"/>
                <a:pt x="451" y="64"/>
              </a:cubicBezTo>
              <a:cubicBezTo>
                <a:pt x="332" y="119"/>
                <a:pt x="228" y="202"/>
                <a:pt x="150" y="307"/>
              </a:cubicBezTo>
              <a:cubicBezTo>
                <a:pt x="52" y="440"/>
                <a:pt x="0" y="593"/>
                <a:pt x="0" y="759"/>
              </a:cubicBezTo>
              <a:cubicBezTo>
                <a:pt x="0" y="811"/>
                <a:pt x="4" y="866"/>
                <a:pt x="12" y="916"/>
              </a:cubicBezTo>
              <a:cubicBezTo>
                <a:pt x="59" y="1148"/>
                <a:pt x="211" y="1340"/>
                <a:pt x="429" y="1443"/>
              </a:cubicBezTo>
              <a:cubicBezTo>
                <a:pt x="503" y="1475"/>
                <a:pt x="599" y="1508"/>
                <a:pt x="826" y="1526"/>
              </a:cubicBezTo>
              <a:cubicBezTo>
                <a:pt x="831" y="1526"/>
                <a:pt x="865" y="1527"/>
                <a:pt x="865" y="1527"/>
              </a:cubicBezTo>
            </a:path>
          </a:pathLst>
        </a:custGeom>
        <a:solidFill>
          <a:srgbClr val="69BE28"/>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fr-FR"/>
        </a:p>
      </xdr:txBody>
    </xdr:sp>
    <xdr:clientData/>
  </xdr:twoCellAnchor>
  <xdr:twoCellAnchor>
    <xdr:from>
      <xdr:col>8</xdr:col>
      <xdr:colOff>0</xdr:colOff>
      <xdr:row>1</xdr:row>
      <xdr:rowOff>285750</xdr:rowOff>
    </xdr:from>
    <xdr:to>
      <xdr:col>8</xdr:col>
      <xdr:colOff>0</xdr:colOff>
      <xdr:row>1</xdr:row>
      <xdr:rowOff>1123950</xdr:rowOff>
    </xdr:to>
    <xdr:sp macro="" textlink="">
      <xdr:nvSpPr>
        <xdr:cNvPr id="5" name="Forme libre : forme 4">
          <a:extLst>
            <a:ext uri="{FF2B5EF4-FFF2-40B4-BE49-F238E27FC236}">
              <a16:creationId xmlns:a16="http://schemas.microsoft.com/office/drawing/2014/main" id="{876FB57E-EC89-4D9F-986E-52D4AEC01DD2}"/>
            </a:ext>
          </a:extLst>
        </xdr:cNvPr>
        <xdr:cNvSpPr>
          <a:spLocks/>
        </xdr:cNvSpPr>
      </xdr:nvSpPr>
      <xdr:spPr bwMode="auto">
        <a:xfrm>
          <a:off x="20124420" y="461010"/>
          <a:ext cx="804545" cy="838200"/>
        </a:xfrm>
        <a:custGeom>
          <a:avLst/>
          <a:gdLst>
            <a:gd name="T0" fmla="*/ 864 w 866"/>
            <a:gd name="T1" fmla="*/ 1162 h 1527"/>
            <a:gd name="T2" fmla="*/ 852 w 866"/>
            <a:gd name="T3" fmla="*/ 1161 h 1527"/>
            <a:gd name="T4" fmla="*/ 745 w 866"/>
            <a:gd name="T5" fmla="*/ 1155 h 1527"/>
            <a:gd name="T6" fmla="*/ 365 w 866"/>
            <a:gd name="T7" fmla="*/ 751 h 1527"/>
            <a:gd name="T8" fmla="*/ 732 w 866"/>
            <a:gd name="T9" fmla="*/ 355 h 1527"/>
            <a:gd name="T10" fmla="*/ 852 w 866"/>
            <a:gd name="T11" fmla="*/ 349 h 1527"/>
            <a:gd name="T12" fmla="*/ 865 w 866"/>
            <a:gd name="T13" fmla="*/ 348 h 1527"/>
            <a:gd name="T14" fmla="*/ 866 w 866"/>
            <a:gd name="T15" fmla="*/ 0 h 1527"/>
            <a:gd name="T16" fmla="*/ 853 w 866"/>
            <a:gd name="T17" fmla="*/ 0 h 1527"/>
            <a:gd name="T18" fmla="*/ 769 w 866"/>
            <a:gd name="T19" fmla="*/ 1 h 1527"/>
            <a:gd name="T20" fmla="*/ 451 w 866"/>
            <a:gd name="T21" fmla="*/ 64 h 1527"/>
            <a:gd name="T22" fmla="*/ 150 w 866"/>
            <a:gd name="T23" fmla="*/ 307 h 1527"/>
            <a:gd name="T24" fmla="*/ 0 w 866"/>
            <a:gd name="T25" fmla="*/ 759 h 1527"/>
            <a:gd name="T26" fmla="*/ 12 w 866"/>
            <a:gd name="T27" fmla="*/ 916 h 1527"/>
            <a:gd name="T28" fmla="*/ 429 w 866"/>
            <a:gd name="T29" fmla="*/ 1443 h 1527"/>
            <a:gd name="T30" fmla="*/ 826 w 866"/>
            <a:gd name="T31" fmla="*/ 1526 h 1527"/>
            <a:gd name="T32" fmla="*/ 865 w 866"/>
            <a:gd name="T33" fmla="*/ 1527 h 15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866" h="1527">
              <a:moveTo>
                <a:pt x="864" y="1162"/>
              </a:moveTo>
              <a:cubicBezTo>
                <a:pt x="852" y="1161"/>
                <a:pt x="852" y="1161"/>
                <a:pt x="852" y="1161"/>
              </a:cubicBezTo>
              <a:cubicBezTo>
                <a:pt x="828" y="1160"/>
                <a:pt x="809" y="1161"/>
                <a:pt x="745" y="1155"/>
              </a:cubicBezTo>
              <a:cubicBezTo>
                <a:pt x="466" y="1128"/>
                <a:pt x="365" y="920"/>
                <a:pt x="365" y="751"/>
              </a:cubicBezTo>
              <a:cubicBezTo>
                <a:pt x="365" y="540"/>
                <a:pt x="506" y="389"/>
                <a:pt x="732" y="355"/>
              </a:cubicBezTo>
              <a:cubicBezTo>
                <a:pt x="766" y="350"/>
                <a:pt x="828" y="349"/>
                <a:pt x="852" y="349"/>
              </a:cubicBezTo>
              <a:cubicBezTo>
                <a:pt x="865" y="348"/>
                <a:pt x="865" y="348"/>
                <a:pt x="865" y="348"/>
              </a:cubicBezTo>
              <a:cubicBezTo>
                <a:pt x="866" y="0"/>
                <a:pt x="866" y="0"/>
                <a:pt x="866" y="0"/>
              </a:cubicBezTo>
              <a:cubicBezTo>
                <a:pt x="853" y="0"/>
                <a:pt x="853" y="0"/>
                <a:pt x="853" y="0"/>
              </a:cubicBezTo>
              <a:cubicBezTo>
                <a:pt x="769" y="1"/>
                <a:pt x="769" y="1"/>
                <a:pt x="769" y="1"/>
              </a:cubicBezTo>
              <a:cubicBezTo>
                <a:pt x="696" y="6"/>
                <a:pt x="575" y="13"/>
                <a:pt x="451" y="64"/>
              </a:cubicBezTo>
              <a:cubicBezTo>
                <a:pt x="332" y="119"/>
                <a:pt x="228" y="202"/>
                <a:pt x="150" y="307"/>
              </a:cubicBezTo>
              <a:cubicBezTo>
                <a:pt x="52" y="440"/>
                <a:pt x="0" y="593"/>
                <a:pt x="0" y="759"/>
              </a:cubicBezTo>
              <a:cubicBezTo>
                <a:pt x="0" y="811"/>
                <a:pt x="4" y="866"/>
                <a:pt x="12" y="916"/>
              </a:cubicBezTo>
              <a:cubicBezTo>
                <a:pt x="59" y="1148"/>
                <a:pt x="211" y="1340"/>
                <a:pt x="429" y="1443"/>
              </a:cubicBezTo>
              <a:cubicBezTo>
                <a:pt x="503" y="1475"/>
                <a:pt x="599" y="1508"/>
                <a:pt x="826" y="1526"/>
              </a:cubicBezTo>
              <a:cubicBezTo>
                <a:pt x="831" y="1526"/>
                <a:pt x="865" y="1527"/>
                <a:pt x="865" y="1527"/>
              </a:cubicBezTo>
            </a:path>
          </a:pathLst>
        </a:custGeom>
        <a:solidFill>
          <a:srgbClr val="69BE28"/>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fr-FR"/>
        </a:p>
      </xdr:txBody>
    </xdr:sp>
    <xdr:clientData/>
  </xdr:twoCellAnchor>
  <xdr:twoCellAnchor>
    <xdr:from>
      <xdr:col>8</xdr:col>
      <xdr:colOff>0</xdr:colOff>
      <xdr:row>1</xdr:row>
      <xdr:rowOff>285750</xdr:rowOff>
    </xdr:from>
    <xdr:to>
      <xdr:col>8</xdr:col>
      <xdr:colOff>0</xdr:colOff>
      <xdr:row>1</xdr:row>
      <xdr:rowOff>1123950</xdr:rowOff>
    </xdr:to>
    <xdr:sp macro="" textlink="">
      <xdr:nvSpPr>
        <xdr:cNvPr id="7" name="Forme libre : forme 6">
          <a:extLst>
            <a:ext uri="{FF2B5EF4-FFF2-40B4-BE49-F238E27FC236}">
              <a16:creationId xmlns:a16="http://schemas.microsoft.com/office/drawing/2014/main" id="{47BDE4A2-79AA-4F60-B628-8035E6C47F44}"/>
            </a:ext>
          </a:extLst>
        </xdr:cNvPr>
        <xdr:cNvSpPr>
          <a:spLocks/>
        </xdr:cNvSpPr>
      </xdr:nvSpPr>
      <xdr:spPr bwMode="auto">
        <a:xfrm>
          <a:off x="20124420" y="461010"/>
          <a:ext cx="804545" cy="838200"/>
        </a:xfrm>
        <a:custGeom>
          <a:avLst/>
          <a:gdLst>
            <a:gd name="T0" fmla="*/ 864 w 866"/>
            <a:gd name="T1" fmla="*/ 1162 h 1527"/>
            <a:gd name="T2" fmla="*/ 852 w 866"/>
            <a:gd name="T3" fmla="*/ 1161 h 1527"/>
            <a:gd name="T4" fmla="*/ 745 w 866"/>
            <a:gd name="T5" fmla="*/ 1155 h 1527"/>
            <a:gd name="T6" fmla="*/ 365 w 866"/>
            <a:gd name="T7" fmla="*/ 751 h 1527"/>
            <a:gd name="T8" fmla="*/ 732 w 866"/>
            <a:gd name="T9" fmla="*/ 355 h 1527"/>
            <a:gd name="T10" fmla="*/ 852 w 866"/>
            <a:gd name="T11" fmla="*/ 349 h 1527"/>
            <a:gd name="T12" fmla="*/ 865 w 866"/>
            <a:gd name="T13" fmla="*/ 348 h 1527"/>
            <a:gd name="T14" fmla="*/ 866 w 866"/>
            <a:gd name="T15" fmla="*/ 0 h 1527"/>
            <a:gd name="T16" fmla="*/ 853 w 866"/>
            <a:gd name="T17" fmla="*/ 0 h 1527"/>
            <a:gd name="T18" fmla="*/ 769 w 866"/>
            <a:gd name="T19" fmla="*/ 1 h 1527"/>
            <a:gd name="T20" fmla="*/ 451 w 866"/>
            <a:gd name="T21" fmla="*/ 64 h 1527"/>
            <a:gd name="T22" fmla="*/ 150 w 866"/>
            <a:gd name="T23" fmla="*/ 307 h 1527"/>
            <a:gd name="T24" fmla="*/ 0 w 866"/>
            <a:gd name="T25" fmla="*/ 759 h 1527"/>
            <a:gd name="T26" fmla="*/ 12 w 866"/>
            <a:gd name="T27" fmla="*/ 916 h 1527"/>
            <a:gd name="T28" fmla="*/ 429 w 866"/>
            <a:gd name="T29" fmla="*/ 1443 h 1527"/>
            <a:gd name="T30" fmla="*/ 826 w 866"/>
            <a:gd name="T31" fmla="*/ 1526 h 1527"/>
            <a:gd name="T32" fmla="*/ 865 w 866"/>
            <a:gd name="T33" fmla="*/ 1527 h 15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866" h="1527">
              <a:moveTo>
                <a:pt x="864" y="1162"/>
              </a:moveTo>
              <a:cubicBezTo>
                <a:pt x="852" y="1161"/>
                <a:pt x="852" y="1161"/>
                <a:pt x="852" y="1161"/>
              </a:cubicBezTo>
              <a:cubicBezTo>
                <a:pt x="828" y="1160"/>
                <a:pt x="809" y="1161"/>
                <a:pt x="745" y="1155"/>
              </a:cubicBezTo>
              <a:cubicBezTo>
                <a:pt x="466" y="1128"/>
                <a:pt x="365" y="920"/>
                <a:pt x="365" y="751"/>
              </a:cubicBezTo>
              <a:cubicBezTo>
                <a:pt x="365" y="540"/>
                <a:pt x="506" y="389"/>
                <a:pt x="732" y="355"/>
              </a:cubicBezTo>
              <a:cubicBezTo>
                <a:pt x="766" y="350"/>
                <a:pt x="828" y="349"/>
                <a:pt x="852" y="349"/>
              </a:cubicBezTo>
              <a:cubicBezTo>
                <a:pt x="865" y="348"/>
                <a:pt x="865" y="348"/>
                <a:pt x="865" y="348"/>
              </a:cubicBezTo>
              <a:cubicBezTo>
                <a:pt x="866" y="0"/>
                <a:pt x="866" y="0"/>
                <a:pt x="866" y="0"/>
              </a:cubicBezTo>
              <a:cubicBezTo>
                <a:pt x="853" y="0"/>
                <a:pt x="853" y="0"/>
                <a:pt x="853" y="0"/>
              </a:cubicBezTo>
              <a:cubicBezTo>
                <a:pt x="769" y="1"/>
                <a:pt x="769" y="1"/>
                <a:pt x="769" y="1"/>
              </a:cubicBezTo>
              <a:cubicBezTo>
                <a:pt x="696" y="6"/>
                <a:pt x="575" y="13"/>
                <a:pt x="451" y="64"/>
              </a:cubicBezTo>
              <a:cubicBezTo>
                <a:pt x="332" y="119"/>
                <a:pt x="228" y="202"/>
                <a:pt x="150" y="307"/>
              </a:cubicBezTo>
              <a:cubicBezTo>
                <a:pt x="52" y="440"/>
                <a:pt x="0" y="593"/>
                <a:pt x="0" y="759"/>
              </a:cubicBezTo>
              <a:cubicBezTo>
                <a:pt x="0" y="811"/>
                <a:pt x="4" y="866"/>
                <a:pt x="12" y="916"/>
              </a:cubicBezTo>
              <a:cubicBezTo>
                <a:pt x="59" y="1148"/>
                <a:pt x="211" y="1340"/>
                <a:pt x="429" y="1443"/>
              </a:cubicBezTo>
              <a:cubicBezTo>
                <a:pt x="503" y="1475"/>
                <a:pt x="599" y="1508"/>
                <a:pt x="826" y="1526"/>
              </a:cubicBezTo>
              <a:cubicBezTo>
                <a:pt x="831" y="1526"/>
                <a:pt x="865" y="1527"/>
                <a:pt x="865" y="1527"/>
              </a:cubicBezTo>
            </a:path>
          </a:pathLst>
        </a:custGeom>
        <a:solidFill>
          <a:srgbClr val="69BE28"/>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fr-FR"/>
        </a:p>
      </xdr:txBody>
    </xdr:sp>
    <xdr:clientData/>
  </xdr:twoCellAnchor>
  <xdr:twoCellAnchor editAs="oneCell">
    <xdr:from>
      <xdr:col>1</xdr:col>
      <xdr:colOff>94210</xdr:colOff>
      <xdr:row>1</xdr:row>
      <xdr:rowOff>41912</xdr:rowOff>
    </xdr:from>
    <xdr:to>
      <xdr:col>2</xdr:col>
      <xdr:colOff>525780</xdr:colOff>
      <xdr:row>1</xdr:row>
      <xdr:rowOff>576452</xdr:rowOff>
    </xdr:to>
    <xdr:pic>
      <xdr:nvPicPr>
        <xdr:cNvPr id="8" name="Picture 2" descr="Microsoft Customer Story-CBRE delivers better workplace experiences through  Host, a comprehensive, scalable product suite, using Azure Digital Twins">
          <a:extLst>
            <a:ext uri="{FF2B5EF4-FFF2-40B4-BE49-F238E27FC236}">
              <a16:creationId xmlns:a16="http://schemas.microsoft.com/office/drawing/2014/main" id="{31DC5213-8D78-4632-A01B-89DCBF6C35B6}"/>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815" b="30581"/>
        <a:stretch/>
      </xdr:blipFill>
      <xdr:spPr bwMode="auto">
        <a:xfrm>
          <a:off x="231370" y="224792"/>
          <a:ext cx="1224050" cy="534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xdr:row>
      <xdr:rowOff>285750</xdr:rowOff>
    </xdr:from>
    <xdr:to>
      <xdr:col>8</xdr:col>
      <xdr:colOff>0</xdr:colOff>
      <xdr:row>1</xdr:row>
      <xdr:rowOff>1123950</xdr:rowOff>
    </xdr:to>
    <xdr:sp macro="" textlink="">
      <xdr:nvSpPr>
        <xdr:cNvPr id="9" name="Forme libre : forme 8">
          <a:extLst>
            <a:ext uri="{FF2B5EF4-FFF2-40B4-BE49-F238E27FC236}">
              <a16:creationId xmlns:a16="http://schemas.microsoft.com/office/drawing/2014/main" id="{530BD837-28F0-41FC-8D5F-51BCE92DA0B6}"/>
            </a:ext>
          </a:extLst>
        </xdr:cNvPr>
        <xdr:cNvSpPr>
          <a:spLocks/>
        </xdr:cNvSpPr>
      </xdr:nvSpPr>
      <xdr:spPr bwMode="auto">
        <a:xfrm>
          <a:off x="20124420" y="461010"/>
          <a:ext cx="804545" cy="838200"/>
        </a:xfrm>
        <a:custGeom>
          <a:avLst/>
          <a:gdLst>
            <a:gd name="T0" fmla="*/ 864 w 866"/>
            <a:gd name="T1" fmla="*/ 1162 h 1527"/>
            <a:gd name="T2" fmla="*/ 852 w 866"/>
            <a:gd name="T3" fmla="*/ 1161 h 1527"/>
            <a:gd name="T4" fmla="*/ 745 w 866"/>
            <a:gd name="T5" fmla="*/ 1155 h 1527"/>
            <a:gd name="T6" fmla="*/ 365 w 866"/>
            <a:gd name="T7" fmla="*/ 751 h 1527"/>
            <a:gd name="T8" fmla="*/ 732 w 866"/>
            <a:gd name="T9" fmla="*/ 355 h 1527"/>
            <a:gd name="T10" fmla="*/ 852 w 866"/>
            <a:gd name="T11" fmla="*/ 349 h 1527"/>
            <a:gd name="T12" fmla="*/ 865 w 866"/>
            <a:gd name="T13" fmla="*/ 348 h 1527"/>
            <a:gd name="T14" fmla="*/ 866 w 866"/>
            <a:gd name="T15" fmla="*/ 0 h 1527"/>
            <a:gd name="T16" fmla="*/ 853 w 866"/>
            <a:gd name="T17" fmla="*/ 0 h 1527"/>
            <a:gd name="T18" fmla="*/ 769 w 866"/>
            <a:gd name="T19" fmla="*/ 1 h 1527"/>
            <a:gd name="T20" fmla="*/ 451 w 866"/>
            <a:gd name="T21" fmla="*/ 64 h 1527"/>
            <a:gd name="T22" fmla="*/ 150 w 866"/>
            <a:gd name="T23" fmla="*/ 307 h 1527"/>
            <a:gd name="T24" fmla="*/ 0 w 866"/>
            <a:gd name="T25" fmla="*/ 759 h 1527"/>
            <a:gd name="T26" fmla="*/ 12 w 866"/>
            <a:gd name="T27" fmla="*/ 916 h 1527"/>
            <a:gd name="T28" fmla="*/ 429 w 866"/>
            <a:gd name="T29" fmla="*/ 1443 h 1527"/>
            <a:gd name="T30" fmla="*/ 826 w 866"/>
            <a:gd name="T31" fmla="*/ 1526 h 1527"/>
            <a:gd name="T32" fmla="*/ 865 w 866"/>
            <a:gd name="T33" fmla="*/ 1527 h 1527"/>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866" h="1527">
              <a:moveTo>
                <a:pt x="864" y="1162"/>
              </a:moveTo>
              <a:cubicBezTo>
                <a:pt x="852" y="1161"/>
                <a:pt x="852" y="1161"/>
                <a:pt x="852" y="1161"/>
              </a:cubicBezTo>
              <a:cubicBezTo>
                <a:pt x="828" y="1160"/>
                <a:pt x="809" y="1161"/>
                <a:pt x="745" y="1155"/>
              </a:cubicBezTo>
              <a:cubicBezTo>
                <a:pt x="466" y="1128"/>
                <a:pt x="365" y="920"/>
                <a:pt x="365" y="751"/>
              </a:cubicBezTo>
              <a:cubicBezTo>
                <a:pt x="365" y="540"/>
                <a:pt x="506" y="389"/>
                <a:pt x="732" y="355"/>
              </a:cubicBezTo>
              <a:cubicBezTo>
                <a:pt x="766" y="350"/>
                <a:pt x="828" y="349"/>
                <a:pt x="852" y="349"/>
              </a:cubicBezTo>
              <a:cubicBezTo>
                <a:pt x="865" y="348"/>
                <a:pt x="865" y="348"/>
                <a:pt x="865" y="348"/>
              </a:cubicBezTo>
              <a:cubicBezTo>
                <a:pt x="866" y="0"/>
                <a:pt x="866" y="0"/>
                <a:pt x="866" y="0"/>
              </a:cubicBezTo>
              <a:cubicBezTo>
                <a:pt x="853" y="0"/>
                <a:pt x="853" y="0"/>
                <a:pt x="853" y="0"/>
              </a:cubicBezTo>
              <a:cubicBezTo>
                <a:pt x="769" y="1"/>
                <a:pt x="769" y="1"/>
                <a:pt x="769" y="1"/>
              </a:cubicBezTo>
              <a:cubicBezTo>
                <a:pt x="696" y="6"/>
                <a:pt x="575" y="13"/>
                <a:pt x="451" y="64"/>
              </a:cubicBezTo>
              <a:cubicBezTo>
                <a:pt x="332" y="119"/>
                <a:pt x="228" y="202"/>
                <a:pt x="150" y="307"/>
              </a:cubicBezTo>
              <a:cubicBezTo>
                <a:pt x="52" y="440"/>
                <a:pt x="0" y="593"/>
                <a:pt x="0" y="759"/>
              </a:cubicBezTo>
              <a:cubicBezTo>
                <a:pt x="0" y="811"/>
                <a:pt x="4" y="866"/>
                <a:pt x="12" y="916"/>
              </a:cubicBezTo>
              <a:cubicBezTo>
                <a:pt x="59" y="1148"/>
                <a:pt x="211" y="1340"/>
                <a:pt x="429" y="1443"/>
              </a:cubicBezTo>
              <a:cubicBezTo>
                <a:pt x="503" y="1475"/>
                <a:pt x="599" y="1508"/>
                <a:pt x="826" y="1526"/>
              </a:cubicBezTo>
              <a:cubicBezTo>
                <a:pt x="831" y="1526"/>
                <a:pt x="865" y="1527"/>
                <a:pt x="865" y="1527"/>
              </a:cubicBezTo>
            </a:path>
          </a:pathLst>
        </a:custGeom>
        <a:solidFill>
          <a:srgbClr val="69BE28"/>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fr-F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94210</xdr:colOff>
      <xdr:row>0</xdr:row>
      <xdr:rowOff>59841</xdr:rowOff>
    </xdr:from>
    <xdr:to>
      <xdr:col>1</xdr:col>
      <xdr:colOff>1322421</xdr:colOff>
      <xdr:row>1</xdr:row>
      <xdr:rowOff>255963</xdr:rowOff>
    </xdr:to>
    <xdr:pic>
      <xdr:nvPicPr>
        <xdr:cNvPr id="5" name="Picture 2" descr="Microsoft Customer Story-CBRE delivers better workplace experiences through  Host, a comprehensive, scalable product suite, using Azure Digital Twins">
          <a:extLst>
            <a:ext uri="{FF2B5EF4-FFF2-40B4-BE49-F238E27FC236}">
              <a16:creationId xmlns:a16="http://schemas.microsoft.com/office/drawing/2014/main" id="{557FDF35-0A0B-412E-853E-3275825BE48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29815" b="30581"/>
        <a:stretch/>
      </xdr:blipFill>
      <xdr:spPr bwMode="auto">
        <a:xfrm>
          <a:off x="264539" y="59841"/>
          <a:ext cx="1221809" cy="5278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82CB-967B-419D-BD7B-35FFEF9D48F4}">
  <dimension ref="A1:I26"/>
  <sheetViews>
    <sheetView workbookViewId="0">
      <selection activeCell="G24" sqref="G24"/>
    </sheetView>
  </sheetViews>
  <sheetFormatPr baseColWidth="10" defaultColWidth="11.453125" defaultRowHeight="14.5" x14ac:dyDescent="0.35"/>
  <cols>
    <col min="1" max="1" width="2" customWidth="1"/>
    <col min="3" max="8" width="19.81640625" customWidth="1"/>
    <col min="9" max="9" width="2.7265625" customWidth="1"/>
  </cols>
  <sheetData>
    <row r="1" spans="1:9" x14ac:dyDescent="0.35">
      <c r="A1" s="1"/>
      <c r="B1" s="1"/>
      <c r="C1" s="1"/>
      <c r="D1" s="1"/>
      <c r="E1" s="1"/>
      <c r="F1" s="1"/>
      <c r="G1" s="1"/>
      <c r="H1" s="1"/>
      <c r="I1" s="1"/>
    </row>
    <row r="2" spans="1:9" ht="54" customHeight="1" x14ac:dyDescent="0.35">
      <c r="A2" s="1"/>
      <c r="B2" s="118" t="s">
        <v>0</v>
      </c>
      <c r="C2" s="118"/>
      <c r="D2" s="118"/>
      <c r="E2" s="118"/>
      <c r="F2" s="118"/>
      <c r="G2" s="118"/>
      <c r="H2" s="118"/>
      <c r="I2" s="22"/>
    </row>
    <row r="3" spans="1:9" ht="22.9" customHeight="1" x14ac:dyDescent="0.35">
      <c r="A3" s="1"/>
      <c r="B3" s="119" t="s">
        <v>1</v>
      </c>
      <c r="C3" s="119"/>
      <c r="D3" s="119"/>
      <c r="E3" s="119"/>
      <c r="F3" s="119"/>
      <c r="G3" s="119"/>
      <c r="H3" s="119"/>
      <c r="I3" s="22"/>
    </row>
    <row r="4" spans="1:9" ht="15" thickBot="1" x14ac:dyDescent="0.4">
      <c r="A4" s="1"/>
      <c r="B4" s="1"/>
      <c r="C4" s="1"/>
      <c r="D4" s="1"/>
      <c r="E4" s="1"/>
      <c r="F4" s="1"/>
      <c r="G4" s="1"/>
      <c r="H4" s="1"/>
      <c r="I4" s="22"/>
    </row>
    <row r="5" spans="1:9" ht="45.65" customHeight="1" thickBot="1" x14ac:dyDescent="0.4">
      <c r="A5" s="1"/>
      <c r="B5" s="129" t="s">
        <v>2</v>
      </c>
      <c r="C5" s="130"/>
      <c r="D5" s="134" t="s">
        <v>3</v>
      </c>
      <c r="E5" s="135"/>
      <c r="F5" s="135"/>
      <c r="G5" s="135"/>
      <c r="H5" s="136"/>
      <c r="I5" s="22"/>
    </row>
    <row r="6" spans="1:9" ht="10.15" customHeight="1" thickBot="1" x14ac:dyDescent="0.4">
      <c r="A6" s="1"/>
      <c r="B6" s="79"/>
      <c r="C6" s="79"/>
      <c r="D6" s="79"/>
      <c r="E6" s="79"/>
      <c r="F6" s="79"/>
      <c r="G6" s="79"/>
      <c r="H6" s="79"/>
      <c r="I6" s="22"/>
    </row>
    <row r="7" spans="1:9" ht="55.9" customHeight="1" thickBot="1" x14ac:dyDescent="0.4">
      <c r="A7" s="1"/>
      <c r="B7" s="129" t="s">
        <v>4</v>
      </c>
      <c r="C7" s="130"/>
      <c r="D7" s="134" t="s">
        <v>5</v>
      </c>
      <c r="E7" s="135"/>
      <c r="F7" s="135"/>
      <c r="G7" s="135"/>
      <c r="H7" s="136"/>
      <c r="I7" s="22"/>
    </row>
    <row r="8" spans="1:9" ht="10.15" customHeight="1" thickBot="1" x14ac:dyDescent="0.4">
      <c r="A8" s="1"/>
      <c r="B8" s="79"/>
      <c r="C8" s="79"/>
      <c r="D8" s="79"/>
      <c r="E8" s="79"/>
      <c r="F8" s="79"/>
      <c r="G8" s="79"/>
      <c r="H8" s="79"/>
      <c r="I8" s="22"/>
    </row>
    <row r="9" spans="1:9" ht="54" customHeight="1" thickBot="1" x14ac:dyDescent="0.4">
      <c r="A9" s="1"/>
      <c r="B9" s="129" t="s">
        <v>6</v>
      </c>
      <c r="C9" s="130"/>
      <c r="D9" s="134" t="s">
        <v>7</v>
      </c>
      <c r="E9" s="135"/>
      <c r="F9" s="135"/>
      <c r="G9" s="135"/>
      <c r="H9" s="136"/>
      <c r="I9" s="22"/>
    </row>
    <row r="10" spans="1:9" ht="15" thickBot="1" x14ac:dyDescent="0.4">
      <c r="A10" s="1"/>
      <c r="I10" s="1"/>
    </row>
    <row r="11" spans="1:9" ht="31.9" customHeight="1" thickBot="1" x14ac:dyDescent="0.4">
      <c r="A11" s="1"/>
      <c r="B11" s="131" t="s">
        <v>8</v>
      </c>
      <c r="C11" s="132"/>
      <c r="D11" s="132"/>
      <c r="E11" s="132"/>
      <c r="F11" s="132"/>
      <c r="G11" s="133"/>
      <c r="H11" s="80" t="s">
        <v>9</v>
      </c>
      <c r="I11" s="1"/>
    </row>
    <row r="12" spans="1:9" ht="14.5" customHeight="1" x14ac:dyDescent="0.35">
      <c r="A12" s="1"/>
      <c r="B12" s="40" t="s">
        <v>10</v>
      </c>
      <c r="C12" s="70" t="s">
        <v>11</v>
      </c>
      <c r="D12" s="71"/>
      <c r="E12" s="71"/>
      <c r="F12" s="71"/>
      <c r="G12" s="72"/>
      <c r="H12" s="98" t="s">
        <v>12</v>
      </c>
      <c r="I12" s="1"/>
    </row>
    <row r="13" spans="1:9" ht="14.5" customHeight="1" x14ac:dyDescent="0.35">
      <c r="A13" s="1"/>
      <c r="B13" s="41" t="s">
        <v>13</v>
      </c>
      <c r="C13" s="73" t="s">
        <v>14</v>
      </c>
      <c r="D13" s="74"/>
      <c r="E13" s="74"/>
      <c r="F13" s="74"/>
      <c r="G13" s="75"/>
      <c r="H13" s="99" t="s">
        <v>12</v>
      </c>
      <c r="I13" s="1"/>
    </row>
    <row r="14" spans="1:9" ht="14.5" customHeight="1" x14ac:dyDescent="0.35">
      <c r="A14" s="1"/>
      <c r="B14" s="41" t="s">
        <v>15</v>
      </c>
      <c r="C14" s="73" t="s">
        <v>16</v>
      </c>
      <c r="D14" s="74"/>
      <c r="E14" s="74"/>
      <c r="F14" s="74"/>
      <c r="G14" s="75"/>
      <c r="H14" s="99" t="s">
        <v>12</v>
      </c>
      <c r="I14" s="1"/>
    </row>
    <row r="15" spans="1:9" ht="14.5" customHeight="1" x14ac:dyDescent="0.35">
      <c r="A15" s="1"/>
      <c r="B15" s="41" t="s">
        <v>17</v>
      </c>
      <c r="C15" s="73" t="s">
        <v>18</v>
      </c>
      <c r="D15" s="74"/>
      <c r="E15" s="74"/>
      <c r="F15" s="74"/>
      <c r="G15" s="75"/>
      <c r="H15" s="99" t="s">
        <v>12</v>
      </c>
      <c r="I15" s="1"/>
    </row>
    <row r="16" spans="1:9" ht="14.5" customHeight="1" x14ac:dyDescent="0.35">
      <c r="A16" s="1"/>
      <c r="B16" s="41" t="s">
        <v>19</v>
      </c>
      <c r="C16" s="73" t="s">
        <v>20</v>
      </c>
      <c r="D16" s="74"/>
      <c r="E16" s="74"/>
      <c r="F16" s="74"/>
      <c r="G16" s="75"/>
      <c r="H16" s="99" t="s">
        <v>12</v>
      </c>
      <c r="I16" s="1"/>
    </row>
    <row r="17" spans="1:9" ht="14.5" customHeight="1" x14ac:dyDescent="0.35">
      <c r="A17" s="1"/>
      <c r="B17" s="41" t="s">
        <v>21</v>
      </c>
      <c r="C17" s="73" t="s">
        <v>22</v>
      </c>
      <c r="D17" s="74"/>
      <c r="E17" s="74"/>
      <c r="F17" s="74"/>
      <c r="G17" s="75"/>
      <c r="H17" s="99" t="s">
        <v>12</v>
      </c>
      <c r="I17" s="1"/>
    </row>
    <row r="18" spans="1:9" ht="14.5" customHeight="1" x14ac:dyDescent="0.35">
      <c r="A18" s="1"/>
      <c r="B18" s="41" t="s">
        <v>23</v>
      </c>
      <c r="C18" s="73" t="s">
        <v>24</v>
      </c>
      <c r="D18" s="74"/>
      <c r="E18" s="74"/>
      <c r="F18" s="74"/>
      <c r="G18" s="75"/>
      <c r="H18" s="99" t="s">
        <v>12</v>
      </c>
      <c r="I18" s="1"/>
    </row>
    <row r="19" spans="1:9" ht="14.5" customHeight="1" x14ac:dyDescent="0.35">
      <c r="A19" s="1"/>
      <c r="B19" s="41" t="s">
        <v>25</v>
      </c>
      <c r="C19" s="95" t="s">
        <v>26</v>
      </c>
      <c r="D19" s="96"/>
      <c r="E19" s="96"/>
      <c r="F19" s="96"/>
      <c r="G19" s="97"/>
      <c r="H19" s="99" t="s">
        <v>12</v>
      </c>
      <c r="I19" s="1"/>
    </row>
    <row r="20" spans="1:9" ht="15" customHeight="1" thickBot="1" x14ac:dyDescent="0.4">
      <c r="A20" s="1"/>
      <c r="B20" s="42" t="s">
        <v>27</v>
      </c>
      <c r="C20" s="76" t="s">
        <v>28</v>
      </c>
      <c r="D20" s="77"/>
      <c r="E20" s="77"/>
      <c r="F20" s="77"/>
      <c r="G20" s="78"/>
      <c r="H20" s="100" t="s">
        <v>12</v>
      </c>
      <c r="I20" s="1"/>
    </row>
    <row r="21" spans="1:9" ht="15" thickBot="1" x14ac:dyDescent="0.4">
      <c r="A21" s="1"/>
      <c r="B21" s="44"/>
      <c r="C21" s="44"/>
      <c r="D21" s="44"/>
      <c r="E21" s="45"/>
      <c r="F21" s="45"/>
      <c r="G21" s="1"/>
      <c r="H21" s="1"/>
      <c r="I21" s="1"/>
    </row>
    <row r="22" spans="1:9" ht="27.65" customHeight="1" x14ac:dyDescent="0.35">
      <c r="A22" s="1"/>
      <c r="B22" s="89" t="s">
        <v>29</v>
      </c>
      <c r="C22" s="138" t="s">
        <v>30</v>
      </c>
      <c r="D22" s="138"/>
      <c r="E22" s="138" t="s">
        <v>31</v>
      </c>
      <c r="F22" s="138"/>
      <c r="G22" s="90" t="s">
        <v>32</v>
      </c>
      <c r="H22" s="91" t="s">
        <v>33</v>
      </c>
      <c r="I22" s="1"/>
    </row>
    <row r="23" spans="1:9" ht="31.9" customHeight="1" x14ac:dyDescent="0.35">
      <c r="A23" s="1"/>
      <c r="B23" s="81" t="s">
        <v>34</v>
      </c>
      <c r="C23" s="143" t="s">
        <v>35</v>
      </c>
      <c r="D23" s="143"/>
      <c r="E23" s="139" t="s">
        <v>36</v>
      </c>
      <c r="F23" s="140"/>
      <c r="G23" s="82">
        <v>45945</v>
      </c>
      <c r="H23" s="83"/>
      <c r="I23" s="1"/>
    </row>
    <row r="24" spans="1:9" ht="44.5" customHeight="1" x14ac:dyDescent="0.35">
      <c r="A24" s="1"/>
      <c r="B24" s="84" t="s">
        <v>37</v>
      </c>
      <c r="C24" s="143" t="s">
        <v>38</v>
      </c>
      <c r="D24" s="143"/>
      <c r="E24" s="141" t="s">
        <v>39</v>
      </c>
      <c r="F24" s="141"/>
      <c r="G24" s="82">
        <v>46055</v>
      </c>
      <c r="H24" s="85"/>
      <c r="I24" s="1"/>
    </row>
    <row r="25" spans="1:9" ht="46.9" customHeight="1" thickBot="1" x14ac:dyDescent="0.4">
      <c r="A25" s="1"/>
      <c r="B25" s="86"/>
      <c r="C25" s="137"/>
      <c r="D25" s="137"/>
      <c r="E25" s="142"/>
      <c r="F25" s="142"/>
      <c r="G25" s="87"/>
      <c r="H25" s="88"/>
      <c r="I25" s="1"/>
    </row>
    <row r="26" spans="1:9" ht="22.15" customHeight="1" x14ac:dyDescent="0.35">
      <c r="A26" s="1"/>
      <c r="B26" s="1"/>
      <c r="C26" s="1"/>
      <c r="D26" s="1"/>
      <c r="E26" s="1"/>
      <c r="F26" s="1"/>
      <c r="G26" s="1"/>
      <c r="H26" s="1"/>
      <c r="I26" s="1"/>
    </row>
  </sheetData>
  <mergeCells count="17">
    <mergeCell ref="C25:D25"/>
    <mergeCell ref="E22:F22"/>
    <mergeCell ref="E23:F23"/>
    <mergeCell ref="E24:F24"/>
    <mergeCell ref="E25:F25"/>
    <mergeCell ref="C22:D22"/>
    <mergeCell ref="C23:D23"/>
    <mergeCell ref="C24:D24"/>
    <mergeCell ref="B2:H2"/>
    <mergeCell ref="B3:H3"/>
    <mergeCell ref="B7:C7"/>
    <mergeCell ref="B5:C5"/>
    <mergeCell ref="B11:G11"/>
    <mergeCell ref="D5:H5"/>
    <mergeCell ref="D7:H7"/>
    <mergeCell ref="B9:C9"/>
    <mergeCell ref="D9:H9"/>
  </mergeCells>
  <phoneticPr fontId="6"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7370C-179C-4708-9931-D0EA0C01AC9E}">
  <sheetPr>
    <outlinePr summaryBelow="0"/>
  </sheetPr>
  <dimension ref="A1:AS101"/>
  <sheetViews>
    <sheetView tabSelected="1" zoomScale="85" zoomScaleNormal="85" zoomScaleSheetLayoutView="25" workbookViewId="0">
      <pane xSplit="12" ySplit="9" topLeftCell="V10" activePane="bottomRight" state="frozen"/>
      <selection pane="topRight" activeCell="E1" sqref="E1"/>
      <selection pane="bottomLeft" activeCell="A10" sqref="A10"/>
      <selection pane="bottomRight" activeCell="N107" sqref="N107"/>
    </sheetView>
  </sheetViews>
  <sheetFormatPr baseColWidth="10" defaultColWidth="8.81640625" defaultRowHeight="14.5" x14ac:dyDescent="0.35"/>
  <cols>
    <col min="1" max="1" width="2.453125" customWidth="1"/>
    <col min="2" max="2" width="29.1796875" customWidth="1"/>
    <col min="3" max="3" width="38.26953125" style="3" customWidth="1"/>
    <col min="4" max="4" width="6" style="3" customWidth="1"/>
    <col min="5" max="11" width="5.453125" style="3" customWidth="1"/>
    <col min="12" max="12" width="6.26953125" style="3" customWidth="1"/>
    <col min="13" max="14" width="31.7265625" style="3" customWidth="1"/>
    <col min="15" max="15" width="19.1796875" style="3" customWidth="1"/>
    <col min="16" max="16" width="11.26953125" style="3" customWidth="1"/>
    <col min="17" max="17" width="16.1796875" style="3" customWidth="1"/>
    <col min="18" max="18" width="11.54296875" style="3" customWidth="1"/>
    <col min="19" max="19" width="0.26953125" style="3" hidden="1" customWidth="1"/>
    <col min="20" max="20" width="10.26953125" style="3" customWidth="1"/>
    <col min="21" max="21" width="0.26953125" style="3" customWidth="1"/>
    <col min="22" max="22" width="10.54296875" style="3" customWidth="1"/>
    <col min="23" max="23" width="24.54296875" style="3" customWidth="1"/>
    <col min="24" max="24" width="16.7265625" style="3" customWidth="1"/>
    <col min="25" max="25" width="37.26953125" style="3" customWidth="1"/>
    <col min="26" max="26" width="6" style="29" customWidth="1"/>
    <col min="27" max="27" width="27.1796875" style="3" customWidth="1"/>
    <col min="28" max="28" width="5.7265625" style="29" customWidth="1"/>
    <col min="29" max="29" width="41.7265625" style="3" customWidth="1"/>
    <col min="30" max="30" width="10.1796875" style="29" customWidth="1"/>
    <col min="31" max="31" width="11.453125" style="3" customWidth="1"/>
    <col min="32" max="32" width="3" style="3" hidden="1" customWidth="1"/>
    <col min="33" max="33" width="10.7265625" style="3" customWidth="1"/>
    <col min="34" max="34" width="22.54296875" style="3" customWidth="1"/>
    <col min="35" max="35" width="23" style="3" customWidth="1"/>
    <col min="36" max="36" width="6.26953125" customWidth="1"/>
    <col min="37" max="37" width="31" customWidth="1"/>
    <col min="38" max="38" width="6.7265625" customWidth="1"/>
    <col min="39" max="39" width="39.453125" customWidth="1"/>
  </cols>
  <sheetData>
    <row r="1" spans="1:45" ht="25.9" customHeight="1" x14ac:dyDescent="0.35">
      <c r="A1" s="1"/>
      <c r="B1" s="118" t="s">
        <v>0</v>
      </c>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c r="AH1" s="118"/>
      <c r="AI1" s="118"/>
      <c r="AJ1" s="22"/>
      <c r="AK1" s="22"/>
      <c r="AL1" s="22"/>
      <c r="AM1" s="22"/>
      <c r="AN1" s="22"/>
      <c r="AO1" s="22"/>
      <c r="AP1" s="22"/>
      <c r="AQ1" s="22"/>
      <c r="AR1" s="22"/>
    </row>
    <row r="2" spans="1:45" ht="25.9" customHeight="1" x14ac:dyDescent="0.35">
      <c r="A2" s="1"/>
      <c r="B2" s="119" t="s">
        <v>40</v>
      </c>
      <c r="C2" s="119"/>
      <c r="D2" s="119"/>
      <c r="E2" s="119"/>
      <c r="F2" s="119"/>
      <c r="G2" s="119"/>
      <c r="H2" s="119"/>
      <c r="I2" s="119"/>
      <c r="J2" s="119"/>
      <c r="K2" s="119"/>
      <c r="L2" s="119"/>
      <c r="M2" s="119"/>
      <c r="N2" s="119"/>
      <c r="O2" s="119"/>
      <c r="P2" s="119"/>
      <c r="Q2" s="119"/>
      <c r="R2" s="119"/>
      <c r="S2" s="119"/>
      <c r="T2" s="119"/>
      <c r="U2" s="119"/>
      <c r="V2" s="119"/>
      <c r="W2" s="119"/>
      <c r="X2" s="119"/>
      <c r="Y2" s="119"/>
      <c r="Z2" s="119"/>
      <c r="AA2" s="119"/>
      <c r="AB2" s="119"/>
      <c r="AC2" s="119"/>
      <c r="AD2" s="119"/>
      <c r="AE2" s="119"/>
      <c r="AF2" s="119"/>
      <c r="AG2" s="119"/>
      <c r="AH2" s="119"/>
      <c r="AI2" s="119"/>
      <c r="AJ2" s="1"/>
      <c r="AK2" s="1"/>
      <c r="AL2" s="1"/>
      <c r="AM2" s="1"/>
      <c r="AN2" s="23"/>
      <c r="AO2" s="23"/>
      <c r="AP2" s="24"/>
      <c r="AQ2" s="22"/>
      <c r="AR2" s="22"/>
    </row>
    <row r="3" spans="1:45" s="5" customFormat="1" ht="10.9" customHeight="1" x14ac:dyDescent="0.45">
      <c r="A3" s="4"/>
      <c r="B3" s="43"/>
      <c r="C3" s="1"/>
      <c r="D3" s="1"/>
      <c r="E3" s="1"/>
      <c r="F3" s="1"/>
      <c r="G3" s="1"/>
      <c r="H3" s="1"/>
      <c r="I3" s="1"/>
      <c r="J3" s="1"/>
      <c r="K3" s="1"/>
      <c r="L3" s="4"/>
      <c r="M3" s="4"/>
      <c r="N3" s="4"/>
      <c r="O3" s="4"/>
      <c r="P3" s="4"/>
      <c r="Q3" s="4"/>
      <c r="R3" s="4"/>
      <c r="T3" s="4"/>
      <c r="V3" s="4"/>
      <c r="W3" s="4"/>
      <c r="X3" s="61"/>
      <c r="Y3" s="62"/>
      <c r="Z3" s="121"/>
      <c r="AA3" s="121"/>
      <c r="AB3" s="121"/>
      <c r="AC3" s="121"/>
      <c r="AD3" s="121"/>
      <c r="AE3" s="8"/>
      <c r="AF3" s="8"/>
      <c r="AG3" s="4"/>
      <c r="AH3" s="4"/>
      <c r="AI3" s="4"/>
      <c r="AJ3" s="4"/>
      <c r="AK3" s="4"/>
      <c r="AL3" s="4"/>
      <c r="AM3" s="4"/>
      <c r="AN3" s="27"/>
      <c r="AO3" s="27"/>
      <c r="AP3" s="28"/>
      <c r="AQ3" s="25"/>
      <c r="AR3" s="25"/>
    </row>
    <row r="4" spans="1:45" s="5" customFormat="1" ht="20.5" customHeight="1" x14ac:dyDescent="0.45">
      <c r="A4" s="4"/>
      <c r="B4" s="127" t="str">
        <f>'Page de garde'!D5</f>
        <v>CBRE GWS France SAS</v>
      </c>
      <c r="C4" s="127"/>
      <c r="D4" s="127"/>
      <c r="E4" s="127"/>
      <c r="F4" s="127"/>
      <c r="G4" s="127"/>
      <c r="H4" s="127"/>
      <c r="I4" s="127"/>
      <c r="J4" s="127"/>
      <c r="K4" s="127"/>
      <c r="L4" s="4"/>
      <c r="M4" s="5" t="s">
        <v>41</v>
      </c>
      <c r="O4" s="123" t="str">
        <f>'Page de garde'!D9</f>
        <v>Maintenance multitechnique du bâtiment - coordination des entreprises sous-traitantes - Facility management - gestion de projet d'aménagement</v>
      </c>
      <c r="P4" s="123"/>
      <c r="Q4" s="123"/>
      <c r="R4" s="123"/>
      <c r="S4" s="124"/>
      <c r="T4" s="123"/>
      <c r="U4" s="124"/>
      <c r="V4" s="123"/>
      <c r="W4" s="123"/>
      <c r="X4" s="123"/>
      <c r="Y4" s="123"/>
      <c r="Z4" s="123"/>
      <c r="AA4" s="123"/>
      <c r="AB4" s="123"/>
      <c r="AC4" s="123"/>
      <c r="AD4" s="123"/>
      <c r="AF4" s="8"/>
      <c r="AG4" s="4"/>
      <c r="AH4" s="39" t="s">
        <v>42</v>
      </c>
      <c r="AI4" s="92">
        <f>'Page de garde'!G23</f>
        <v>45945</v>
      </c>
      <c r="AJ4" s="4"/>
      <c r="AK4" s="4"/>
      <c r="AL4" s="4"/>
      <c r="AM4" s="4"/>
      <c r="AN4" s="27"/>
      <c r="AO4" s="27"/>
      <c r="AP4" s="28"/>
      <c r="AQ4" s="25"/>
      <c r="AR4" s="25"/>
    </row>
    <row r="5" spans="1:45" s="4" customFormat="1" ht="6.65" customHeight="1" x14ac:dyDescent="0.45">
      <c r="B5" s="69"/>
      <c r="C5" s="69"/>
      <c r="D5" s="69"/>
      <c r="E5" s="69"/>
      <c r="F5" s="69"/>
      <c r="G5" s="69"/>
      <c r="H5" s="69"/>
      <c r="I5" s="69"/>
      <c r="J5" s="69"/>
      <c r="K5" s="69"/>
      <c r="X5" s="61"/>
      <c r="Y5" s="62"/>
      <c r="Z5" s="38"/>
      <c r="AA5" s="38"/>
      <c r="AB5" s="38"/>
      <c r="AC5" s="38"/>
      <c r="AD5" s="38"/>
      <c r="AE5" s="8"/>
      <c r="AF5" s="8"/>
      <c r="AH5" s="39"/>
      <c r="AI5" s="93"/>
      <c r="AN5" s="27"/>
      <c r="AO5" s="27"/>
      <c r="AP5" s="28"/>
      <c r="AQ5" s="25"/>
      <c r="AR5" s="25"/>
    </row>
    <row r="6" spans="1:45" s="5" customFormat="1" ht="17.5" customHeight="1" x14ac:dyDescent="0.45">
      <c r="A6" s="4"/>
      <c r="B6" s="128" t="str">
        <f>'Page de garde'!D7</f>
        <v xml:space="preserve">17 quai du Président Paul Doumer - 92400 COURBEVOIE </v>
      </c>
      <c r="C6" s="128"/>
      <c r="D6" s="128"/>
      <c r="E6" s="128"/>
      <c r="F6" s="128"/>
      <c r="G6" s="128"/>
      <c r="H6" s="128"/>
      <c r="I6" s="128"/>
      <c r="J6" s="128"/>
      <c r="K6" s="128"/>
      <c r="L6" s="4"/>
      <c r="M6" s="4"/>
      <c r="N6" s="4"/>
      <c r="O6" s="4"/>
      <c r="P6" s="4"/>
      <c r="Q6" s="4"/>
      <c r="R6" s="4"/>
      <c r="T6" s="4"/>
      <c r="V6" s="4"/>
      <c r="W6" s="4"/>
      <c r="X6" s="61"/>
      <c r="Y6" s="62"/>
      <c r="Z6" s="121"/>
      <c r="AA6" s="121"/>
      <c r="AB6" s="121"/>
      <c r="AC6" s="121"/>
      <c r="AD6" s="121"/>
      <c r="AE6" s="8"/>
      <c r="AF6" s="8"/>
      <c r="AG6" s="4"/>
      <c r="AH6" s="39" t="s">
        <v>43</v>
      </c>
      <c r="AI6" s="94" t="str">
        <f>'Page de garde'!E23</f>
        <v>Nicolas Bernard / Islem Resgui / Theo Rocca</v>
      </c>
      <c r="AJ6" s="4"/>
      <c r="AK6" s="4"/>
      <c r="AL6" s="4"/>
      <c r="AM6" s="4"/>
      <c r="AN6" s="27"/>
      <c r="AO6" s="27"/>
      <c r="AP6" s="28"/>
      <c r="AQ6" s="25"/>
      <c r="AR6" s="25"/>
    </row>
    <row r="7" spans="1:45" s="5" customFormat="1" ht="16.149999999999999" customHeight="1" x14ac:dyDescent="0.55000000000000004">
      <c r="A7" s="4"/>
      <c r="B7" s="4"/>
      <c r="C7" s="4"/>
      <c r="D7" s="4"/>
      <c r="E7" s="4"/>
      <c r="F7" s="4"/>
      <c r="G7" s="4"/>
      <c r="H7" s="4"/>
      <c r="I7" s="4"/>
      <c r="J7" s="4"/>
      <c r="K7" s="4"/>
      <c r="L7" s="4"/>
      <c r="M7" s="4"/>
      <c r="N7" s="4"/>
      <c r="O7" s="4"/>
      <c r="P7" s="4"/>
      <c r="Q7" s="4"/>
      <c r="R7" s="4"/>
      <c r="T7" s="4"/>
      <c r="V7" s="4"/>
      <c r="W7" s="122" t="s">
        <v>44</v>
      </c>
      <c r="X7" s="122"/>
      <c r="Y7" s="122"/>
      <c r="Z7" s="122"/>
      <c r="AA7" s="122"/>
      <c r="AB7" s="122"/>
      <c r="AC7" s="122"/>
      <c r="AD7" s="122"/>
      <c r="AE7" s="122"/>
      <c r="AF7" s="122"/>
      <c r="AG7" s="8"/>
      <c r="AH7" s="7"/>
      <c r="AI7" s="25"/>
      <c r="AJ7" s="25"/>
      <c r="AK7" s="25"/>
      <c r="AL7" s="25"/>
      <c r="AM7" s="26"/>
      <c r="AN7" s="27"/>
      <c r="AO7" s="27"/>
      <c r="AP7" s="28"/>
      <c r="AQ7" s="25"/>
      <c r="AR7" s="25"/>
    </row>
    <row r="8" spans="1:45" ht="75.650000000000006" customHeight="1" x14ac:dyDescent="0.35">
      <c r="A8" s="1"/>
      <c r="B8" s="63" t="s">
        <v>45</v>
      </c>
      <c r="C8" s="63" t="s">
        <v>46</v>
      </c>
      <c r="D8" s="125" t="s">
        <v>47</v>
      </c>
      <c r="E8" s="125"/>
      <c r="F8" s="125"/>
      <c r="G8" s="125"/>
      <c r="H8" s="125"/>
      <c r="I8" s="125"/>
      <c r="J8" s="125"/>
      <c r="K8" s="125"/>
      <c r="L8" s="126"/>
      <c r="M8" s="63" t="s">
        <v>433</v>
      </c>
      <c r="N8" s="159" t="s">
        <v>434</v>
      </c>
      <c r="O8" s="63" t="s">
        <v>48</v>
      </c>
      <c r="P8" s="63" t="s">
        <v>49</v>
      </c>
      <c r="Q8" s="63" t="s">
        <v>50</v>
      </c>
      <c r="R8" s="63" t="s">
        <v>51</v>
      </c>
      <c r="S8" s="2"/>
      <c r="T8" s="63" t="s">
        <v>52</v>
      </c>
      <c r="U8" s="2"/>
      <c r="V8" s="52" t="s">
        <v>53</v>
      </c>
      <c r="W8" s="63" t="s">
        <v>54</v>
      </c>
      <c r="X8" s="63" t="s">
        <v>55</v>
      </c>
      <c r="Y8" s="64" t="s">
        <v>56</v>
      </c>
      <c r="Z8" s="65" t="s">
        <v>57</v>
      </c>
      <c r="AA8" s="64" t="s">
        <v>58</v>
      </c>
      <c r="AB8" s="65" t="s">
        <v>57</v>
      </c>
      <c r="AC8" s="64" t="s">
        <v>59</v>
      </c>
      <c r="AD8" s="65" t="s">
        <v>60</v>
      </c>
      <c r="AE8" s="68" t="s">
        <v>61</v>
      </c>
      <c r="AG8" s="52" t="s">
        <v>62</v>
      </c>
      <c r="AH8" s="68" t="s">
        <v>63</v>
      </c>
      <c r="AI8" s="68" t="s">
        <v>64</v>
      </c>
      <c r="AN8" s="1"/>
      <c r="AO8" s="1"/>
      <c r="AP8" s="1"/>
      <c r="AQ8" s="1"/>
      <c r="AR8" s="1"/>
      <c r="AS8" s="1"/>
    </row>
    <row r="9" spans="1:45" s="113" customFormat="1" ht="69.650000000000006" customHeight="1" x14ac:dyDescent="0.35">
      <c r="B9" s="114" t="s">
        <v>65</v>
      </c>
      <c r="C9" s="115" t="s">
        <v>66</v>
      </c>
      <c r="D9" s="116" t="s">
        <v>67</v>
      </c>
      <c r="E9" s="116" t="s">
        <v>68</v>
      </c>
      <c r="F9" s="116" t="s">
        <v>69</v>
      </c>
      <c r="G9" s="116" t="s">
        <v>70</v>
      </c>
      <c r="H9" s="116" t="s">
        <v>71</v>
      </c>
      <c r="I9" s="116" t="s">
        <v>72</v>
      </c>
      <c r="J9" s="116" t="s">
        <v>73</v>
      </c>
      <c r="K9" s="116" t="s">
        <v>74</v>
      </c>
      <c r="L9" s="116" t="s">
        <v>75</v>
      </c>
      <c r="M9" s="114" t="s">
        <v>76</v>
      </c>
      <c r="N9" s="114"/>
      <c r="O9" s="114" t="s">
        <v>77</v>
      </c>
      <c r="P9" s="114" t="s">
        <v>78</v>
      </c>
      <c r="Q9" s="114" t="s">
        <v>79</v>
      </c>
      <c r="R9" s="114" t="s">
        <v>80</v>
      </c>
      <c r="S9" s="114" t="s">
        <v>81</v>
      </c>
      <c r="T9" s="114" t="s">
        <v>82</v>
      </c>
      <c r="U9" s="114" t="s">
        <v>83</v>
      </c>
      <c r="V9" s="114" t="s">
        <v>84</v>
      </c>
      <c r="W9" s="114" t="s">
        <v>85</v>
      </c>
      <c r="X9" s="114" t="s">
        <v>86</v>
      </c>
      <c r="Y9" s="120" t="s">
        <v>87</v>
      </c>
      <c r="Z9" s="120"/>
      <c r="AA9" s="114" t="s">
        <v>88</v>
      </c>
      <c r="AB9" s="114"/>
      <c r="AC9" s="114" t="s">
        <v>89</v>
      </c>
      <c r="AD9" s="114"/>
      <c r="AE9" s="114" t="s">
        <v>90</v>
      </c>
      <c r="AF9" s="114" t="s">
        <v>91</v>
      </c>
      <c r="AG9" s="114" t="s">
        <v>92</v>
      </c>
      <c r="AH9" s="114" t="s">
        <v>93</v>
      </c>
      <c r="AI9" s="114" t="s">
        <v>94</v>
      </c>
      <c r="AJ9" s="117"/>
      <c r="AK9" s="117"/>
    </row>
    <row r="10" spans="1:45" s="10" customFormat="1" ht="66.650000000000006" customHeight="1" x14ac:dyDescent="0.25">
      <c r="A10" s="8"/>
      <c r="B10" s="46" t="s">
        <v>95</v>
      </c>
      <c r="C10" s="101" t="s">
        <v>96</v>
      </c>
      <c r="D10" s="106"/>
      <c r="E10" s="103"/>
      <c r="F10" s="103"/>
      <c r="G10" s="103"/>
      <c r="H10" s="103" t="s">
        <v>12</v>
      </c>
      <c r="I10" s="103"/>
      <c r="J10" s="103" t="s">
        <v>12</v>
      </c>
      <c r="K10" s="103"/>
      <c r="L10" s="103"/>
      <c r="M10" s="46" t="s">
        <v>97</v>
      </c>
      <c r="N10" s="161" t="s">
        <v>575</v>
      </c>
      <c r="O10" s="47" t="s">
        <v>98</v>
      </c>
      <c r="P10" s="46" t="s">
        <v>99</v>
      </c>
      <c r="Q10" s="48">
        <v>2</v>
      </c>
      <c r="R10" s="48">
        <v>2</v>
      </c>
      <c r="S10" s="48">
        <f t="shared" ref="S10:S47" si="0">Q10+R10</f>
        <v>4</v>
      </c>
      <c r="T10" s="48">
        <v>4</v>
      </c>
      <c r="U10" s="36">
        <f>VLOOKUP($T10,Cotation!$G$6:$H$10,2,(FALSE))</f>
        <v>3</v>
      </c>
      <c r="V10" s="49" t="str">
        <f>HLOOKUP($S10,Cotation!$I$5:$M$10,'Risk Register'!U10,(TRUE))</f>
        <v>S</v>
      </c>
      <c r="W10" s="31" t="s">
        <v>100</v>
      </c>
      <c r="X10" s="170" t="s">
        <v>457</v>
      </c>
      <c r="Y10" s="163" t="s">
        <v>455</v>
      </c>
      <c r="Z10" s="66">
        <v>0.25</v>
      </c>
      <c r="AA10" s="50" t="s">
        <v>101</v>
      </c>
      <c r="AB10" s="66">
        <v>0.25</v>
      </c>
      <c r="AC10" s="163" t="s">
        <v>437</v>
      </c>
      <c r="AD10" s="66">
        <v>0.25</v>
      </c>
      <c r="AE10" s="51">
        <f t="shared" ref="AE10:AE45" si="1">100%-(Z10+AB10+AD10)</f>
        <v>0.25</v>
      </c>
      <c r="AF10" s="47">
        <f>S10*AE10</f>
        <v>1</v>
      </c>
      <c r="AG10" s="49" t="str">
        <f>HLOOKUP($AF10,Cotation!$I$5:$M$10,'Risk Register'!U10,(TRUE))</f>
        <v>M</v>
      </c>
      <c r="AH10" s="46"/>
      <c r="AI10" s="9"/>
    </row>
    <row r="11" spans="1:45" s="10" customFormat="1" ht="35.5" customHeight="1" x14ac:dyDescent="0.25">
      <c r="A11" s="8"/>
      <c r="B11" s="46" t="s">
        <v>95</v>
      </c>
      <c r="C11" s="102" t="s">
        <v>102</v>
      </c>
      <c r="D11" s="106"/>
      <c r="E11" s="103"/>
      <c r="F11" s="103"/>
      <c r="G11" s="103" t="s">
        <v>12</v>
      </c>
      <c r="H11" s="103" t="s">
        <v>12</v>
      </c>
      <c r="I11" s="103"/>
      <c r="J11" s="103" t="s">
        <v>12</v>
      </c>
      <c r="K11" s="103"/>
      <c r="L11" s="103"/>
      <c r="M11" s="31" t="s">
        <v>97</v>
      </c>
      <c r="N11" s="161" t="s">
        <v>575</v>
      </c>
      <c r="O11" s="32" t="s">
        <v>103</v>
      </c>
      <c r="P11" s="46" t="s">
        <v>99</v>
      </c>
      <c r="Q11" s="36">
        <v>3</v>
      </c>
      <c r="R11" s="36">
        <v>1</v>
      </c>
      <c r="S11" s="36">
        <f t="shared" si="0"/>
        <v>4</v>
      </c>
      <c r="T11" s="36">
        <v>4</v>
      </c>
      <c r="U11" s="36">
        <f>VLOOKUP($T11,Cotation!$G$6:$H$10,2,(FALSE))</f>
        <v>3</v>
      </c>
      <c r="V11" s="33" t="str">
        <f>HLOOKUP($S11,Cotation!$I$5:$M$10,'Risk Register'!U11,(TRUE))</f>
        <v>S</v>
      </c>
      <c r="W11" s="31" t="s">
        <v>100</v>
      </c>
      <c r="X11" s="170" t="s">
        <v>435</v>
      </c>
      <c r="Y11" s="35" t="s">
        <v>105</v>
      </c>
      <c r="Z11" s="67">
        <v>0.25</v>
      </c>
      <c r="AA11" s="165" t="s">
        <v>436</v>
      </c>
      <c r="AB11" s="67">
        <v>0.25</v>
      </c>
      <c r="AC11" s="165" t="s">
        <v>438</v>
      </c>
      <c r="AD11" s="67">
        <v>0.25</v>
      </c>
      <c r="AE11" s="34">
        <f t="shared" si="1"/>
        <v>0.25</v>
      </c>
      <c r="AF11" s="32">
        <f t="shared" ref="AF11:AF45" si="2">S11*AE11</f>
        <v>1</v>
      </c>
      <c r="AG11" s="33" t="str">
        <f>HLOOKUP($AF11,Cotation!$I$5:$M$10,'Risk Register'!U11,(TRUE))</f>
        <v>M</v>
      </c>
      <c r="AH11" s="31"/>
      <c r="AI11" s="9"/>
    </row>
    <row r="12" spans="1:45" s="10" customFormat="1" ht="46.9" customHeight="1" x14ac:dyDescent="0.25">
      <c r="A12" s="8"/>
      <c r="B12" s="31" t="s">
        <v>106</v>
      </c>
      <c r="C12" s="102" t="s">
        <v>107</v>
      </c>
      <c r="D12" s="105" t="s">
        <v>12</v>
      </c>
      <c r="E12" s="104" t="s">
        <v>12</v>
      </c>
      <c r="F12" s="104" t="s">
        <v>12</v>
      </c>
      <c r="G12" s="104" t="s">
        <v>12</v>
      </c>
      <c r="H12" s="104" t="s">
        <v>12</v>
      </c>
      <c r="I12" s="104" t="s">
        <v>12</v>
      </c>
      <c r="J12" s="104" t="s">
        <v>12</v>
      </c>
      <c r="K12" s="104" t="s">
        <v>12</v>
      </c>
      <c r="L12" s="104" t="s">
        <v>12</v>
      </c>
      <c r="M12" s="31" t="s">
        <v>108</v>
      </c>
      <c r="N12" s="161" t="s">
        <v>444</v>
      </c>
      <c r="O12" s="32" t="s">
        <v>109</v>
      </c>
      <c r="P12" s="31" t="s">
        <v>110</v>
      </c>
      <c r="Q12" s="36">
        <v>5</v>
      </c>
      <c r="R12" s="36">
        <v>4</v>
      </c>
      <c r="S12" s="36">
        <f t="shared" si="0"/>
        <v>9</v>
      </c>
      <c r="T12" s="36">
        <v>5</v>
      </c>
      <c r="U12" s="36">
        <f>VLOOKUP($T12,Cotation!$G$6:$H$10,2,(FALSE))</f>
        <v>2</v>
      </c>
      <c r="V12" s="33" t="str">
        <f>HLOOKUP($S12,Cotation!$I$5:$M$10,'Risk Register'!U12,(TRUE))</f>
        <v>C</v>
      </c>
      <c r="W12" s="31" t="s">
        <v>111</v>
      </c>
      <c r="X12" s="170" t="s">
        <v>439</v>
      </c>
      <c r="Y12" s="35" t="s">
        <v>112</v>
      </c>
      <c r="Z12" s="67">
        <v>0.25</v>
      </c>
      <c r="AA12" s="35" t="s">
        <v>113</v>
      </c>
      <c r="AB12" s="67">
        <v>0</v>
      </c>
      <c r="AC12" s="165" t="s">
        <v>440</v>
      </c>
      <c r="AD12" s="67">
        <v>0.25</v>
      </c>
      <c r="AE12" s="34">
        <f t="shared" si="1"/>
        <v>0.5</v>
      </c>
      <c r="AF12" s="32">
        <f t="shared" si="2"/>
        <v>4.5</v>
      </c>
      <c r="AG12" s="33" t="str">
        <f>HLOOKUP($AF12,Cotation!$I$5:$M$10,'Risk Register'!U17,(TRUE))</f>
        <v>S</v>
      </c>
      <c r="AH12" s="164" t="s">
        <v>441</v>
      </c>
      <c r="AI12" s="166" t="s">
        <v>442</v>
      </c>
    </row>
    <row r="13" spans="1:45" s="10" customFormat="1" ht="51" customHeight="1" x14ac:dyDescent="0.25">
      <c r="A13" s="8"/>
      <c r="B13" s="31" t="s">
        <v>114</v>
      </c>
      <c r="C13" s="102" t="s">
        <v>115</v>
      </c>
      <c r="D13" s="105" t="s">
        <v>12</v>
      </c>
      <c r="E13" s="104" t="s">
        <v>12</v>
      </c>
      <c r="F13" s="104" t="s">
        <v>12</v>
      </c>
      <c r="G13" s="104" t="s">
        <v>12</v>
      </c>
      <c r="H13" s="104" t="s">
        <v>12</v>
      </c>
      <c r="I13" s="104" t="s">
        <v>12</v>
      </c>
      <c r="J13" s="104" t="s">
        <v>12</v>
      </c>
      <c r="K13" s="104" t="s">
        <v>12</v>
      </c>
      <c r="L13" s="104" t="s">
        <v>12</v>
      </c>
      <c r="M13" s="31" t="s">
        <v>116</v>
      </c>
      <c r="N13" s="161" t="s">
        <v>576</v>
      </c>
      <c r="O13" s="32" t="s">
        <v>117</v>
      </c>
      <c r="P13" s="31" t="s">
        <v>110</v>
      </c>
      <c r="Q13" s="36">
        <v>5</v>
      </c>
      <c r="R13" s="36">
        <v>2</v>
      </c>
      <c r="S13" s="36">
        <f t="shared" si="0"/>
        <v>7</v>
      </c>
      <c r="T13" s="36">
        <v>2</v>
      </c>
      <c r="U13" s="36">
        <f>VLOOKUP($T13,Cotation!$G$6:$H$10,2,(FALSE))</f>
        <v>5</v>
      </c>
      <c r="V13" s="33" t="str">
        <f>HLOOKUP($S13,Cotation!$I$5:$M$10,'Risk Register'!U13,(TRUE))</f>
        <v>M</v>
      </c>
      <c r="W13" s="31" t="s">
        <v>118</v>
      </c>
      <c r="X13" s="31" t="s">
        <v>104</v>
      </c>
      <c r="Y13" s="35" t="s">
        <v>119</v>
      </c>
      <c r="Z13" s="67">
        <v>0.25</v>
      </c>
      <c r="AA13" s="165" t="s">
        <v>447</v>
      </c>
      <c r="AB13" s="67">
        <v>0.1</v>
      </c>
      <c r="AC13" s="35" t="s">
        <v>120</v>
      </c>
      <c r="AD13" s="67">
        <v>0</v>
      </c>
      <c r="AE13" s="34">
        <f t="shared" si="1"/>
        <v>0.65</v>
      </c>
      <c r="AF13" s="32">
        <f t="shared" si="2"/>
        <v>4.55</v>
      </c>
      <c r="AG13" s="33" t="str">
        <f>HLOOKUP($AF13,Cotation!$I$5:$M$10,'Risk Register'!U14,(TRUE))</f>
        <v>M</v>
      </c>
      <c r="AH13" s="31"/>
      <c r="AI13" s="9"/>
    </row>
    <row r="14" spans="1:45" s="10" customFormat="1" ht="83.5" customHeight="1" x14ac:dyDescent="0.25">
      <c r="A14" s="8"/>
      <c r="B14" s="31" t="s">
        <v>121</v>
      </c>
      <c r="C14" s="102" t="s">
        <v>122</v>
      </c>
      <c r="D14" s="105"/>
      <c r="E14" s="104"/>
      <c r="F14" s="104"/>
      <c r="G14" s="103"/>
      <c r="H14" s="103" t="s">
        <v>12</v>
      </c>
      <c r="I14" s="104" t="s">
        <v>12</v>
      </c>
      <c r="J14" s="104" t="s">
        <v>12</v>
      </c>
      <c r="K14" s="104"/>
      <c r="L14" s="103"/>
      <c r="M14" s="31" t="s">
        <v>123</v>
      </c>
      <c r="N14" s="161" t="s">
        <v>573</v>
      </c>
      <c r="O14" s="32" t="s">
        <v>124</v>
      </c>
      <c r="P14" s="31" t="s">
        <v>110</v>
      </c>
      <c r="Q14" s="36">
        <v>1</v>
      </c>
      <c r="R14" s="36">
        <v>2</v>
      </c>
      <c r="S14" s="36">
        <f t="shared" si="0"/>
        <v>3</v>
      </c>
      <c r="T14" s="36">
        <v>3</v>
      </c>
      <c r="U14" s="36">
        <f>VLOOKUP($T14,Cotation!$G$6:$H$10,2,(FALSE))</f>
        <v>4</v>
      </c>
      <c r="V14" s="33" t="str">
        <f>HLOOKUP($S14,Cotation!$I$5:$M$10,'Risk Register'!U14,(TRUE))</f>
        <v>M</v>
      </c>
      <c r="W14" s="31" t="s">
        <v>125</v>
      </c>
      <c r="X14" s="31" t="s">
        <v>104</v>
      </c>
      <c r="Y14" s="35" t="s">
        <v>126</v>
      </c>
      <c r="Z14" s="67">
        <v>0.1</v>
      </c>
      <c r="AA14" s="165" t="s">
        <v>448</v>
      </c>
      <c r="AB14" s="67">
        <v>0</v>
      </c>
      <c r="AC14" s="165" t="s">
        <v>459</v>
      </c>
      <c r="AD14" s="67">
        <v>0</v>
      </c>
      <c r="AE14" s="34">
        <f t="shared" si="1"/>
        <v>0.9</v>
      </c>
      <c r="AF14" s="32">
        <f t="shared" si="2"/>
        <v>2.7</v>
      </c>
      <c r="AG14" s="33" t="str">
        <f>HLOOKUP($AF14,Cotation!$I$5:$M$10,'Risk Register'!U20,(TRUE))</f>
        <v>M</v>
      </c>
      <c r="AH14" s="31"/>
      <c r="AI14" s="9"/>
    </row>
    <row r="15" spans="1:45" s="10" customFormat="1" ht="81.650000000000006" customHeight="1" x14ac:dyDescent="0.25">
      <c r="A15" s="8"/>
      <c r="B15" s="31" t="s">
        <v>121</v>
      </c>
      <c r="C15" s="102" t="s">
        <v>127</v>
      </c>
      <c r="D15" s="106"/>
      <c r="E15" s="103"/>
      <c r="F15" s="103"/>
      <c r="G15" s="103"/>
      <c r="H15" s="103" t="s">
        <v>12</v>
      </c>
      <c r="I15" s="103" t="s">
        <v>12</v>
      </c>
      <c r="J15" s="103" t="s">
        <v>12</v>
      </c>
      <c r="K15" s="103"/>
      <c r="L15" s="103"/>
      <c r="M15" s="31" t="s">
        <v>128</v>
      </c>
      <c r="N15" s="161" t="s">
        <v>573</v>
      </c>
      <c r="O15" s="32" t="s">
        <v>129</v>
      </c>
      <c r="P15" s="31" t="s">
        <v>110</v>
      </c>
      <c r="Q15" s="36">
        <v>5</v>
      </c>
      <c r="R15" s="36">
        <v>4</v>
      </c>
      <c r="S15" s="36">
        <f t="shared" si="0"/>
        <v>9</v>
      </c>
      <c r="T15" s="36">
        <v>3</v>
      </c>
      <c r="U15" s="36">
        <f>VLOOKUP($T15,Cotation!$G$6:$H$10,2,(FALSE))</f>
        <v>4</v>
      </c>
      <c r="V15" s="33" t="str">
        <f>HLOOKUP($S15,Cotation!$I$5:$M$10,'Risk Register'!U13,(TRUE))</f>
        <v>S</v>
      </c>
      <c r="W15" s="31" t="s">
        <v>104</v>
      </c>
      <c r="X15" s="31" t="s">
        <v>104</v>
      </c>
      <c r="Y15" s="35" t="s">
        <v>130</v>
      </c>
      <c r="Z15" s="67">
        <v>0.25</v>
      </c>
      <c r="AA15" s="165" t="s">
        <v>449</v>
      </c>
      <c r="AB15" s="67">
        <v>0.25</v>
      </c>
      <c r="AC15" s="165" t="s">
        <v>458</v>
      </c>
      <c r="AD15" s="67">
        <v>0.25</v>
      </c>
      <c r="AE15" s="34">
        <f t="shared" si="1"/>
        <v>0.25</v>
      </c>
      <c r="AF15" s="32">
        <f t="shared" si="2"/>
        <v>2.25</v>
      </c>
      <c r="AG15" s="33" t="str">
        <f>HLOOKUP($AF15,Cotation!$I$5:$M$10,'Risk Register'!U13,(TRUE))</f>
        <v>F</v>
      </c>
      <c r="AH15" s="31"/>
      <c r="AI15" s="9"/>
    </row>
    <row r="16" spans="1:45" s="10" customFormat="1" ht="81.650000000000006" customHeight="1" x14ac:dyDescent="0.25">
      <c r="A16" s="8"/>
      <c r="B16" s="164" t="s">
        <v>132</v>
      </c>
      <c r="C16" s="102" t="s">
        <v>133</v>
      </c>
      <c r="D16" s="106"/>
      <c r="E16" s="103"/>
      <c r="F16" s="103"/>
      <c r="G16" s="103" t="s">
        <v>12</v>
      </c>
      <c r="H16" s="103"/>
      <c r="I16" s="103"/>
      <c r="J16" s="103"/>
      <c r="K16" s="103"/>
      <c r="L16" s="103"/>
      <c r="M16" s="31" t="s">
        <v>134</v>
      </c>
      <c r="N16" s="161" t="s">
        <v>574</v>
      </c>
      <c r="O16" s="32" t="s">
        <v>135</v>
      </c>
      <c r="P16" s="31" t="s">
        <v>110</v>
      </c>
      <c r="Q16" s="36">
        <v>2</v>
      </c>
      <c r="R16" s="36">
        <v>2</v>
      </c>
      <c r="S16" s="36">
        <f t="shared" ref="S16" si="3">Q16+R16</f>
        <v>4</v>
      </c>
      <c r="T16" s="36">
        <v>2</v>
      </c>
      <c r="U16" s="36"/>
      <c r="V16" s="33" t="str">
        <f>HLOOKUP($S16,Cotation!$I$5:$M$10,'Risk Register'!U18,(TRUE))</f>
        <v>F</v>
      </c>
      <c r="W16" s="164" t="s">
        <v>450</v>
      </c>
      <c r="X16" s="170" t="s">
        <v>471</v>
      </c>
      <c r="Y16" s="165" t="s">
        <v>451</v>
      </c>
      <c r="Z16" s="67"/>
      <c r="AA16" s="165" t="s">
        <v>496</v>
      </c>
      <c r="AB16" s="67"/>
      <c r="AC16" s="165" t="s">
        <v>465</v>
      </c>
      <c r="AD16" s="67">
        <v>0.25</v>
      </c>
      <c r="AE16" s="34">
        <f t="shared" ref="AE16" si="4">100%-(Z16+AB16+AD16)</f>
        <v>0.75</v>
      </c>
      <c r="AF16" s="32">
        <f t="shared" ref="AF16" si="5">S16*AE16</f>
        <v>3</v>
      </c>
      <c r="AG16" s="33" t="str">
        <f>HLOOKUP($AF16,Cotation!$I$5:$M$10,'Risk Register'!U18,(TRUE))</f>
        <v>F</v>
      </c>
      <c r="AH16" s="31"/>
      <c r="AI16" s="9"/>
    </row>
    <row r="17" spans="1:35" s="10" customFormat="1" ht="69" customHeight="1" x14ac:dyDescent="0.25">
      <c r="A17" s="8"/>
      <c r="B17" s="31" t="s">
        <v>132</v>
      </c>
      <c r="C17" s="102" t="s">
        <v>133</v>
      </c>
      <c r="D17" s="105"/>
      <c r="E17" s="104"/>
      <c r="F17" s="104"/>
      <c r="G17" s="104"/>
      <c r="H17" s="103" t="s">
        <v>12</v>
      </c>
      <c r="I17" s="104" t="s">
        <v>12</v>
      </c>
      <c r="J17" s="104" t="s">
        <v>12</v>
      </c>
      <c r="K17" s="104"/>
      <c r="L17" s="103"/>
      <c r="M17" s="31" t="s">
        <v>134</v>
      </c>
      <c r="N17" s="161" t="s">
        <v>574</v>
      </c>
      <c r="O17" s="32" t="s">
        <v>135</v>
      </c>
      <c r="P17" s="31" t="s">
        <v>110</v>
      </c>
      <c r="Q17" s="36">
        <v>2</v>
      </c>
      <c r="R17" s="36">
        <v>2</v>
      </c>
      <c r="S17" s="36">
        <f t="shared" si="0"/>
        <v>4</v>
      </c>
      <c r="T17" s="36">
        <v>4</v>
      </c>
      <c r="U17" s="36">
        <f>VLOOKUP($T17,Cotation!$G$6:$H$10,2,(FALSE))</f>
        <v>3</v>
      </c>
      <c r="V17" s="33" t="str">
        <f>HLOOKUP($S17,Cotation!$I$5:$M$10,'Risk Register'!U19,(TRUE))</f>
        <v>M</v>
      </c>
      <c r="W17" s="164" t="s">
        <v>450</v>
      </c>
      <c r="X17" s="170" t="s">
        <v>471</v>
      </c>
      <c r="Y17" s="165" t="s">
        <v>451</v>
      </c>
      <c r="Z17" s="67">
        <v>0.25</v>
      </c>
      <c r="AA17" s="165" t="s">
        <v>466</v>
      </c>
      <c r="AB17" s="67">
        <v>0</v>
      </c>
      <c r="AC17" s="165" t="s">
        <v>465</v>
      </c>
      <c r="AD17" s="67">
        <v>0.25</v>
      </c>
      <c r="AE17" s="34">
        <f t="shared" si="1"/>
        <v>0.5</v>
      </c>
      <c r="AF17" s="32">
        <f t="shared" si="2"/>
        <v>2</v>
      </c>
      <c r="AG17" s="33" t="str">
        <f>HLOOKUP($AF17,Cotation!$I$5:$M$10,'Risk Register'!U19,(TRUE))</f>
        <v>M</v>
      </c>
      <c r="AH17" s="31"/>
      <c r="AI17" s="9"/>
    </row>
    <row r="18" spans="1:35" s="10" customFormat="1" ht="69" customHeight="1" x14ac:dyDescent="0.25">
      <c r="A18" s="8"/>
      <c r="B18" s="164" t="s">
        <v>136</v>
      </c>
      <c r="C18" s="102" t="s">
        <v>137</v>
      </c>
      <c r="D18" s="106"/>
      <c r="E18" s="103"/>
      <c r="F18" s="103"/>
      <c r="G18" s="103" t="s">
        <v>12</v>
      </c>
      <c r="H18" s="103"/>
      <c r="I18" s="103"/>
      <c r="J18" s="103"/>
      <c r="K18" s="103"/>
      <c r="L18" s="103"/>
      <c r="M18" s="31" t="s">
        <v>138</v>
      </c>
      <c r="N18" s="161" t="s">
        <v>571</v>
      </c>
      <c r="O18" s="32" t="s">
        <v>139</v>
      </c>
      <c r="P18" s="31" t="s">
        <v>110</v>
      </c>
      <c r="Q18" s="36">
        <v>3</v>
      </c>
      <c r="R18" s="36">
        <v>2</v>
      </c>
      <c r="S18" s="36">
        <f t="shared" ref="S18" si="6">Q18+R18</f>
        <v>5</v>
      </c>
      <c r="T18" s="36">
        <v>1</v>
      </c>
      <c r="U18" s="36">
        <f>VLOOKUP($T18,Cotation!$G$6:$H$10,2,(FALSE))</f>
        <v>6</v>
      </c>
      <c r="V18" s="33" t="str">
        <f>HLOOKUP($S18,Cotation!$I$5:$M$10,'Risk Register'!U22,(TRUE))</f>
        <v>S</v>
      </c>
      <c r="W18" s="164" t="s">
        <v>452</v>
      </c>
      <c r="X18" s="170" t="s">
        <v>510</v>
      </c>
      <c r="Y18" s="165" t="s">
        <v>453</v>
      </c>
      <c r="Z18" s="67">
        <v>0.25</v>
      </c>
      <c r="AA18" s="165" t="s">
        <v>463</v>
      </c>
      <c r="AB18" s="67">
        <v>0</v>
      </c>
      <c r="AC18" s="165" t="s">
        <v>488</v>
      </c>
      <c r="AD18" s="67">
        <v>0.1</v>
      </c>
      <c r="AE18" s="34">
        <f t="shared" ref="AE18" si="7">100%-(Z18+AB18+AD18)</f>
        <v>0.65</v>
      </c>
      <c r="AF18" s="32">
        <f t="shared" ref="AF18" si="8">S18*AE18</f>
        <v>3.25</v>
      </c>
      <c r="AG18" s="33" t="str">
        <f>HLOOKUP($AF18,Cotation!$I$5:$M$10,'Risk Register'!U22,(TRUE))</f>
        <v>M</v>
      </c>
      <c r="AH18" s="31"/>
      <c r="AI18" s="9"/>
    </row>
    <row r="19" spans="1:35" s="10" customFormat="1" ht="113.5" customHeight="1" x14ac:dyDescent="0.25">
      <c r="A19" s="8"/>
      <c r="B19" s="31" t="s">
        <v>136</v>
      </c>
      <c r="C19" s="102" t="s">
        <v>137</v>
      </c>
      <c r="D19" s="106"/>
      <c r="E19" s="103"/>
      <c r="F19" s="103"/>
      <c r="G19" s="103"/>
      <c r="H19" s="103" t="s">
        <v>12</v>
      </c>
      <c r="I19" s="103" t="s">
        <v>12</v>
      </c>
      <c r="J19" s="103" t="s">
        <v>12</v>
      </c>
      <c r="K19" s="103"/>
      <c r="L19" s="103"/>
      <c r="M19" s="31" t="s">
        <v>138</v>
      </c>
      <c r="N19" s="161" t="s">
        <v>571</v>
      </c>
      <c r="O19" s="32" t="s">
        <v>139</v>
      </c>
      <c r="P19" s="31" t="s">
        <v>110</v>
      </c>
      <c r="Q19" s="36">
        <v>3</v>
      </c>
      <c r="R19" s="36">
        <v>4</v>
      </c>
      <c r="S19" s="36">
        <f t="shared" si="0"/>
        <v>7</v>
      </c>
      <c r="T19" s="36">
        <v>3</v>
      </c>
      <c r="U19" s="36">
        <f>VLOOKUP($T19,Cotation!$G$6:$H$10,2,(FALSE))</f>
        <v>4</v>
      </c>
      <c r="V19" s="33" t="str">
        <f>HLOOKUP($S19,Cotation!$I$5:$M$10,'Risk Register'!U23,(TRUE))</f>
        <v>S</v>
      </c>
      <c r="W19" s="164" t="s">
        <v>452</v>
      </c>
      <c r="X19" s="170" t="s">
        <v>510</v>
      </c>
      <c r="Y19" s="165" t="s">
        <v>453</v>
      </c>
      <c r="Z19" s="67">
        <v>0.25</v>
      </c>
      <c r="AA19" s="165" t="s">
        <v>490</v>
      </c>
      <c r="AB19" s="67">
        <v>0</v>
      </c>
      <c r="AC19" s="165" t="s">
        <v>464</v>
      </c>
      <c r="AD19" s="67">
        <v>0.1</v>
      </c>
      <c r="AE19" s="34">
        <f t="shared" si="1"/>
        <v>0.65</v>
      </c>
      <c r="AF19" s="32">
        <f t="shared" si="2"/>
        <v>4.55</v>
      </c>
      <c r="AG19" s="33" t="str">
        <f>HLOOKUP($AF19,Cotation!$I$5:$M$10,'Risk Register'!U23,(TRUE))</f>
        <v>S</v>
      </c>
      <c r="AH19" s="31"/>
      <c r="AI19" s="9"/>
    </row>
    <row r="20" spans="1:35" s="10" customFormat="1" ht="97" customHeight="1" x14ac:dyDescent="0.25">
      <c r="A20" s="8"/>
      <c r="B20" s="46" t="s">
        <v>95</v>
      </c>
      <c r="C20" s="102" t="s">
        <v>140</v>
      </c>
      <c r="D20" s="106"/>
      <c r="E20" s="103"/>
      <c r="F20" s="103"/>
      <c r="G20" s="103" t="s">
        <v>12</v>
      </c>
      <c r="H20" s="103" t="s">
        <v>12</v>
      </c>
      <c r="I20" s="103" t="s">
        <v>12</v>
      </c>
      <c r="J20" s="103"/>
      <c r="K20" s="103"/>
      <c r="L20" s="103"/>
      <c r="M20" s="31" t="s">
        <v>97</v>
      </c>
      <c r="N20" s="161" t="s">
        <v>575</v>
      </c>
      <c r="O20" s="32" t="s">
        <v>103</v>
      </c>
      <c r="P20" s="31" t="s">
        <v>99</v>
      </c>
      <c r="Q20" s="36">
        <v>2</v>
      </c>
      <c r="R20" s="36">
        <v>2</v>
      </c>
      <c r="S20" s="36">
        <f t="shared" si="0"/>
        <v>4</v>
      </c>
      <c r="T20" s="36">
        <v>4</v>
      </c>
      <c r="U20" s="36">
        <f>VLOOKUP($T20,Cotation!$G$6:$H$10,2,(FALSE))</f>
        <v>3</v>
      </c>
      <c r="V20" s="33" t="str">
        <f>HLOOKUP($S20,Cotation!$I$5:$M$10,'Risk Register'!U10,(TRUE))</f>
        <v>S</v>
      </c>
      <c r="W20" s="31" t="s">
        <v>100</v>
      </c>
      <c r="X20" s="170" t="s">
        <v>457</v>
      </c>
      <c r="Y20" s="165" t="s">
        <v>456</v>
      </c>
      <c r="Z20" s="67">
        <v>0.25</v>
      </c>
      <c r="AA20" s="165" t="s">
        <v>462</v>
      </c>
      <c r="AB20" s="67">
        <v>0.25</v>
      </c>
      <c r="AC20" s="165" t="s">
        <v>460</v>
      </c>
      <c r="AD20" s="67">
        <v>0.25</v>
      </c>
      <c r="AE20" s="34">
        <f t="shared" si="1"/>
        <v>0.25</v>
      </c>
      <c r="AF20" s="32">
        <f t="shared" si="2"/>
        <v>1</v>
      </c>
      <c r="AG20" s="33" t="str">
        <f>HLOOKUP($AF20,Cotation!$I$5:$M$10,'Risk Register'!U10,(TRUE))</f>
        <v>M</v>
      </c>
      <c r="AH20" s="31"/>
      <c r="AI20" s="9"/>
    </row>
    <row r="21" spans="1:35" s="10" customFormat="1" ht="97" customHeight="1" x14ac:dyDescent="0.25">
      <c r="A21" s="8"/>
      <c r="B21" s="46" t="s">
        <v>95</v>
      </c>
      <c r="C21" s="102" t="s">
        <v>569</v>
      </c>
      <c r="D21" s="106"/>
      <c r="E21" s="103"/>
      <c r="F21" s="103"/>
      <c r="G21" s="103" t="s">
        <v>12</v>
      </c>
      <c r="H21" s="103" t="s">
        <v>12</v>
      </c>
      <c r="I21" s="103" t="s">
        <v>12</v>
      </c>
      <c r="J21" s="103"/>
      <c r="K21" s="103"/>
      <c r="L21" s="103"/>
      <c r="M21" s="31" t="s">
        <v>97</v>
      </c>
      <c r="N21" s="161" t="s">
        <v>575</v>
      </c>
      <c r="O21" s="32" t="s">
        <v>159</v>
      </c>
      <c r="P21" s="31" t="s">
        <v>110</v>
      </c>
      <c r="Q21" s="36">
        <v>3</v>
      </c>
      <c r="R21" s="36">
        <v>1</v>
      </c>
      <c r="S21" s="36">
        <f t="shared" ref="S21" si="9">Q21+R21</f>
        <v>4</v>
      </c>
      <c r="T21" s="36">
        <v>4</v>
      </c>
      <c r="U21" s="36">
        <f>VLOOKUP($T21,Cotation!$G$6:$H$10,2,(FALSE))</f>
        <v>3</v>
      </c>
      <c r="V21" s="33" t="str">
        <f>HLOOKUP($S21,Cotation!$I$5:$M$10,'Risk Register'!U21,(TRUE))</f>
        <v>S</v>
      </c>
      <c r="W21" s="31" t="s">
        <v>100</v>
      </c>
      <c r="X21" s="170" t="s">
        <v>457</v>
      </c>
      <c r="Y21" s="165" t="s">
        <v>456</v>
      </c>
      <c r="Z21" s="67">
        <v>0.25</v>
      </c>
      <c r="AA21" s="165" t="s">
        <v>462</v>
      </c>
      <c r="AB21" s="67">
        <v>0.25</v>
      </c>
      <c r="AC21" s="165" t="s">
        <v>460</v>
      </c>
      <c r="AD21" s="67">
        <v>0.25</v>
      </c>
      <c r="AE21" s="34">
        <f t="shared" ref="AE21" si="10">100%-(Z21+AB21+AD21)</f>
        <v>0.25</v>
      </c>
      <c r="AF21" s="32">
        <f t="shared" ref="AF21" si="11">S21*AE21</f>
        <v>1</v>
      </c>
      <c r="AG21" s="33" t="str">
        <f>HLOOKUP($AF21,Cotation!$I$5:$M$10,'Risk Register'!U11,(TRUE))</f>
        <v>M</v>
      </c>
      <c r="AH21" s="31"/>
      <c r="AI21" s="9"/>
    </row>
    <row r="22" spans="1:35" s="10" customFormat="1" ht="85.9" customHeight="1" x14ac:dyDescent="0.25">
      <c r="A22" s="8"/>
      <c r="B22" s="46" t="s">
        <v>95</v>
      </c>
      <c r="C22" s="102" t="s">
        <v>141</v>
      </c>
      <c r="D22" s="106"/>
      <c r="E22" s="103"/>
      <c r="F22" s="103"/>
      <c r="G22" s="103" t="s">
        <v>12</v>
      </c>
      <c r="H22" s="103" t="s">
        <v>12</v>
      </c>
      <c r="I22" s="103" t="s">
        <v>12</v>
      </c>
      <c r="J22" s="103"/>
      <c r="K22" s="103"/>
      <c r="L22" s="103"/>
      <c r="M22" s="31" t="s">
        <v>97</v>
      </c>
      <c r="N22" s="161" t="s">
        <v>575</v>
      </c>
      <c r="O22" s="32" t="s">
        <v>142</v>
      </c>
      <c r="P22" s="31" t="s">
        <v>99</v>
      </c>
      <c r="Q22" s="36">
        <v>4</v>
      </c>
      <c r="R22" s="36">
        <v>3</v>
      </c>
      <c r="S22" s="36">
        <f t="shared" si="0"/>
        <v>7</v>
      </c>
      <c r="T22" s="36">
        <v>4</v>
      </c>
      <c r="U22" s="36">
        <f>VLOOKUP($T22,Cotation!$G$6:$H$10,2,(FALSE))</f>
        <v>3</v>
      </c>
      <c r="V22" s="33" t="str">
        <f>HLOOKUP($S22,Cotation!$I$5:$M$10,'Risk Register'!U15,(TRUE))</f>
        <v>S</v>
      </c>
      <c r="W22" s="31" t="s">
        <v>100</v>
      </c>
      <c r="X22" s="170" t="s">
        <v>457</v>
      </c>
      <c r="Y22" s="165" t="s">
        <v>456</v>
      </c>
      <c r="Z22" s="67">
        <v>0.25</v>
      </c>
      <c r="AA22" s="165" t="s">
        <v>461</v>
      </c>
      <c r="AB22" s="67">
        <v>0.25</v>
      </c>
      <c r="AC22" s="165" t="s">
        <v>460</v>
      </c>
      <c r="AD22" s="67">
        <v>0.25</v>
      </c>
      <c r="AE22" s="34">
        <f t="shared" si="1"/>
        <v>0.25</v>
      </c>
      <c r="AF22" s="32">
        <f t="shared" si="2"/>
        <v>1.75</v>
      </c>
      <c r="AG22" s="33" t="str">
        <f>HLOOKUP($AF22,Cotation!$I$5:$M$10,'Risk Register'!U15,(TRUE))</f>
        <v>F</v>
      </c>
      <c r="AH22" s="31"/>
      <c r="AI22" s="9"/>
    </row>
    <row r="23" spans="1:35" s="10" customFormat="1" ht="73.150000000000006" customHeight="1" x14ac:dyDescent="0.25">
      <c r="A23" s="8"/>
      <c r="B23" s="31" t="s">
        <v>136</v>
      </c>
      <c r="C23" s="102" t="s">
        <v>143</v>
      </c>
      <c r="D23" s="106"/>
      <c r="E23" s="103"/>
      <c r="F23" s="103"/>
      <c r="G23" s="103" t="s">
        <v>12</v>
      </c>
      <c r="H23" s="103" t="s">
        <v>12</v>
      </c>
      <c r="I23" s="103" t="s">
        <v>12</v>
      </c>
      <c r="J23" s="103"/>
      <c r="K23" s="103"/>
      <c r="L23" s="103"/>
      <c r="M23" s="31" t="s">
        <v>144</v>
      </c>
      <c r="N23" s="161" t="s">
        <v>571</v>
      </c>
      <c r="O23" s="32" t="s">
        <v>145</v>
      </c>
      <c r="P23" s="31" t="s">
        <v>110</v>
      </c>
      <c r="Q23" s="36">
        <v>2</v>
      </c>
      <c r="R23" s="36">
        <v>1</v>
      </c>
      <c r="S23" s="36">
        <f t="shared" si="0"/>
        <v>3</v>
      </c>
      <c r="T23" s="36">
        <v>4</v>
      </c>
      <c r="U23" s="36">
        <f>VLOOKUP($T23,Cotation!$G$6:$H$10,2,(FALSE))</f>
        <v>3</v>
      </c>
      <c r="V23" s="33" t="str">
        <f>HLOOKUP($S23,Cotation!$I$5:$M$10,'Risk Register'!U22,(TRUE))</f>
        <v>M</v>
      </c>
      <c r="W23" s="31" t="s">
        <v>146</v>
      </c>
      <c r="X23" s="170" t="s">
        <v>470</v>
      </c>
      <c r="Y23" s="165" t="s">
        <v>467</v>
      </c>
      <c r="Z23" s="67">
        <v>0.25</v>
      </c>
      <c r="AA23" s="165" t="s">
        <v>469</v>
      </c>
      <c r="AB23" s="67">
        <v>0.25</v>
      </c>
      <c r="AC23" s="165" t="s">
        <v>468</v>
      </c>
      <c r="AD23" s="67">
        <v>0.25</v>
      </c>
      <c r="AE23" s="34">
        <f t="shared" si="1"/>
        <v>0.25</v>
      </c>
      <c r="AF23" s="32">
        <f t="shared" si="2"/>
        <v>0.75</v>
      </c>
      <c r="AG23" s="33" t="str">
        <f>HLOOKUP($AF23,Cotation!$I$5:$M$10,'Risk Register'!U22,(TRUE))</f>
        <v>M</v>
      </c>
      <c r="AH23" s="31"/>
      <c r="AI23" s="9"/>
    </row>
    <row r="24" spans="1:35" s="10" customFormat="1" ht="46.9" customHeight="1" x14ac:dyDescent="0.25">
      <c r="A24" s="8"/>
      <c r="B24" s="31" t="s">
        <v>147</v>
      </c>
      <c r="C24" s="102" t="s">
        <v>148</v>
      </c>
      <c r="D24" s="106"/>
      <c r="E24" s="103"/>
      <c r="F24" s="103"/>
      <c r="G24" s="103" t="s">
        <v>12</v>
      </c>
      <c r="H24" s="103" t="s">
        <v>12</v>
      </c>
      <c r="I24" s="103"/>
      <c r="J24" s="103"/>
      <c r="K24" s="103"/>
      <c r="L24" s="103"/>
      <c r="M24" s="31" t="s">
        <v>149</v>
      </c>
      <c r="N24" s="161" t="s">
        <v>575</v>
      </c>
      <c r="O24" s="32" t="s">
        <v>150</v>
      </c>
      <c r="P24" s="31" t="s">
        <v>99</v>
      </c>
      <c r="Q24" s="36">
        <v>1</v>
      </c>
      <c r="R24" s="36">
        <v>1</v>
      </c>
      <c r="S24" s="36">
        <f t="shared" si="0"/>
        <v>2</v>
      </c>
      <c r="T24" s="36">
        <v>3</v>
      </c>
      <c r="U24" s="36">
        <f>VLOOKUP($T24,Cotation!$G$6:$H$10,2,(FALSE))</f>
        <v>4</v>
      </c>
      <c r="V24" s="33" t="str">
        <f>HLOOKUP($S24,Cotation!$I$5:$M$10,'Risk Register'!U24,(TRUE))</f>
        <v>M</v>
      </c>
      <c r="W24" s="31" t="s">
        <v>151</v>
      </c>
      <c r="X24" s="170" t="s">
        <v>457</v>
      </c>
      <c r="Y24" s="165" t="s">
        <v>473</v>
      </c>
      <c r="Z24" s="67">
        <v>0.25</v>
      </c>
      <c r="AA24" s="35" t="s">
        <v>152</v>
      </c>
      <c r="AB24" s="67">
        <v>0.25</v>
      </c>
      <c r="AC24" s="165" t="s">
        <v>460</v>
      </c>
      <c r="AD24" s="67">
        <v>0.25</v>
      </c>
      <c r="AE24" s="34">
        <f t="shared" si="1"/>
        <v>0.25</v>
      </c>
      <c r="AF24" s="32">
        <f t="shared" si="2"/>
        <v>0.5</v>
      </c>
      <c r="AG24" s="33" t="str">
        <f>HLOOKUP($AF24,Cotation!$I$5:$M$10,'Risk Register'!U24,(TRUE))</f>
        <v>F</v>
      </c>
      <c r="AH24" s="31"/>
      <c r="AI24" s="9"/>
    </row>
    <row r="25" spans="1:35" s="10" customFormat="1" ht="52.15" customHeight="1" x14ac:dyDescent="0.25">
      <c r="A25" s="8"/>
      <c r="B25" s="107" t="s">
        <v>147</v>
      </c>
      <c r="C25" s="108" t="s">
        <v>153</v>
      </c>
      <c r="D25" s="106"/>
      <c r="E25" s="103"/>
      <c r="F25" s="103"/>
      <c r="G25" s="103" t="s">
        <v>12</v>
      </c>
      <c r="H25" s="103" t="s">
        <v>12</v>
      </c>
      <c r="I25" s="103" t="s">
        <v>12</v>
      </c>
      <c r="J25" s="103"/>
      <c r="K25" s="103"/>
      <c r="L25" s="103"/>
      <c r="M25" s="31" t="s">
        <v>154</v>
      </c>
      <c r="N25" s="161" t="s">
        <v>605</v>
      </c>
      <c r="O25" s="32" t="s">
        <v>155</v>
      </c>
      <c r="P25" s="31" t="s">
        <v>99</v>
      </c>
      <c r="Q25" s="36">
        <v>4</v>
      </c>
      <c r="R25" s="36">
        <v>2</v>
      </c>
      <c r="S25" s="36">
        <f t="shared" si="0"/>
        <v>6</v>
      </c>
      <c r="T25" s="36">
        <v>2</v>
      </c>
      <c r="U25" s="36">
        <f>VLOOKUP($T25,Cotation!$G$6:$H$10,2,(FALSE))</f>
        <v>5</v>
      </c>
      <c r="V25" s="33" t="str">
        <f>HLOOKUP($S25,Cotation!$I$5:$M$10,'Risk Register'!U25,(TRUE))</f>
        <v>M</v>
      </c>
      <c r="W25" s="31" t="s">
        <v>156</v>
      </c>
      <c r="X25" s="170" t="s">
        <v>472</v>
      </c>
      <c r="Y25" s="165" t="s">
        <v>473</v>
      </c>
      <c r="Z25" s="67">
        <v>0.25</v>
      </c>
      <c r="AA25" s="35" t="s">
        <v>104</v>
      </c>
      <c r="AB25" s="67">
        <v>0</v>
      </c>
      <c r="AC25" s="165" t="s">
        <v>474</v>
      </c>
      <c r="AD25" s="67">
        <v>0.25</v>
      </c>
      <c r="AE25" s="34">
        <f t="shared" si="1"/>
        <v>0.5</v>
      </c>
      <c r="AF25" s="32">
        <f t="shared" si="2"/>
        <v>3</v>
      </c>
      <c r="AG25" s="33" t="str">
        <f>HLOOKUP($AF25,Cotation!$I$5:$M$10,'Risk Register'!U25,(TRUE))</f>
        <v>F</v>
      </c>
      <c r="AH25" s="31"/>
      <c r="AI25" s="9"/>
    </row>
    <row r="26" spans="1:35" s="10" customFormat="1" ht="51" customHeight="1" x14ac:dyDescent="0.25">
      <c r="A26" s="8"/>
      <c r="B26" s="46" t="s">
        <v>95</v>
      </c>
      <c r="C26" s="108" t="s">
        <v>157</v>
      </c>
      <c r="D26" s="106"/>
      <c r="E26" s="103"/>
      <c r="F26" s="103"/>
      <c r="G26" s="103" t="s">
        <v>12</v>
      </c>
      <c r="H26" s="103" t="s">
        <v>12</v>
      </c>
      <c r="I26" s="103" t="s">
        <v>12</v>
      </c>
      <c r="J26" s="103"/>
      <c r="K26" s="103"/>
      <c r="L26" s="103"/>
      <c r="M26" s="31" t="s">
        <v>158</v>
      </c>
      <c r="N26" s="161" t="s">
        <v>575</v>
      </c>
      <c r="O26" s="32" t="s">
        <v>159</v>
      </c>
      <c r="P26" s="31" t="s">
        <v>110</v>
      </c>
      <c r="Q26" s="36">
        <v>3</v>
      </c>
      <c r="R26" s="36">
        <v>1</v>
      </c>
      <c r="S26" s="36">
        <f t="shared" si="0"/>
        <v>4</v>
      </c>
      <c r="T26" s="36">
        <v>4</v>
      </c>
      <c r="U26" s="36">
        <f>VLOOKUP($T26,Cotation!$G$6:$H$10,2,(FALSE))</f>
        <v>3</v>
      </c>
      <c r="V26" s="33" t="str">
        <f>HLOOKUP($S26,Cotation!$I$5:$M$10,'Risk Register'!U26,(TRUE))</f>
        <v>S</v>
      </c>
      <c r="W26" s="31" t="s">
        <v>100</v>
      </c>
      <c r="X26" s="170" t="s">
        <v>475</v>
      </c>
      <c r="Y26" s="165" t="s">
        <v>476</v>
      </c>
      <c r="Z26" s="67">
        <v>0.25</v>
      </c>
      <c r="AA26" s="165" t="s">
        <v>461</v>
      </c>
      <c r="AB26" s="67">
        <v>0.25</v>
      </c>
      <c r="AC26" s="165" t="s">
        <v>482</v>
      </c>
      <c r="AD26" s="67">
        <v>0.25</v>
      </c>
      <c r="AE26" s="34">
        <f t="shared" si="1"/>
        <v>0.25</v>
      </c>
      <c r="AF26" s="32">
        <f t="shared" si="2"/>
        <v>1</v>
      </c>
      <c r="AG26" s="33" t="str">
        <f>HLOOKUP($AF26,Cotation!$I$5:$M$10,'Risk Register'!U26,(TRUE))</f>
        <v>M</v>
      </c>
      <c r="AH26" s="31"/>
      <c r="AI26" s="9"/>
    </row>
    <row r="27" spans="1:35" s="10" customFormat="1" ht="57" customHeight="1" x14ac:dyDescent="0.25">
      <c r="A27" s="8"/>
      <c r="B27" s="107" t="s">
        <v>160</v>
      </c>
      <c r="C27" s="108" t="s">
        <v>161</v>
      </c>
      <c r="D27" s="106"/>
      <c r="E27" s="103"/>
      <c r="F27" s="103"/>
      <c r="G27" s="103" t="s">
        <v>12</v>
      </c>
      <c r="H27" s="103" t="s">
        <v>12</v>
      </c>
      <c r="I27" s="103" t="s">
        <v>12</v>
      </c>
      <c r="J27" s="103" t="s">
        <v>12</v>
      </c>
      <c r="K27" s="103"/>
      <c r="L27" s="103"/>
      <c r="M27" s="31" t="s">
        <v>162</v>
      </c>
      <c r="N27" s="161" t="s">
        <v>605</v>
      </c>
      <c r="O27" s="32" t="s">
        <v>163</v>
      </c>
      <c r="P27" s="31" t="s">
        <v>110</v>
      </c>
      <c r="Q27" s="36">
        <v>1</v>
      </c>
      <c r="R27" s="36">
        <v>2</v>
      </c>
      <c r="S27" s="36">
        <f t="shared" si="0"/>
        <v>3</v>
      </c>
      <c r="T27" s="36">
        <v>3</v>
      </c>
      <c r="U27" s="36">
        <f>VLOOKUP($T27,Cotation!$G$6:$H$10,2,(FALSE))</f>
        <v>4</v>
      </c>
      <c r="V27" s="33" t="str">
        <f>HLOOKUP($S27,Cotation!$I$5:$M$10,'Risk Register'!U27,(TRUE))</f>
        <v>M</v>
      </c>
      <c r="W27" s="31" t="s">
        <v>104</v>
      </c>
      <c r="X27" s="170"/>
      <c r="Y27" s="165" t="s">
        <v>477</v>
      </c>
      <c r="Z27" s="67">
        <v>0.25</v>
      </c>
      <c r="AA27" s="35" t="s">
        <v>164</v>
      </c>
      <c r="AB27" s="67">
        <v>0.25</v>
      </c>
      <c r="AC27" s="35"/>
      <c r="AD27" s="67">
        <v>0.25</v>
      </c>
      <c r="AE27" s="34">
        <f t="shared" si="1"/>
        <v>0.25</v>
      </c>
      <c r="AF27" s="32">
        <f t="shared" si="2"/>
        <v>0.75</v>
      </c>
      <c r="AG27" s="33" t="str">
        <f>HLOOKUP($AF27,Cotation!$I$5:$M$10,'Risk Register'!U27,(TRUE))</f>
        <v>F</v>
      </c>
      <c r="AH27" s="31"/>
      <c r="AI27" s="9"/>
    </row>
    <row r="28" spans="1:35" s="10" customFormat="1" ht="78.650000000000006" customHeight="1" x14ac:dyDescent="0.25">
      <c r="A28" s="8"/>
      <c r="B28" s="107" t="s">
        <v>147</v>
      </c>
      <c r="C28" s="108" t="s">
        <v>165</v>
      </c>
      <c r="D28" s="106"/>
      <c r="E28" s="103"/>
      <c r="F28" s="103"/>
      <c r="G28" s="103" t="s">
        <v>12</v>
      </c>
      <c r="H28" s="103" t="s">
        <v>12</v>
      </c>
      <c r="I28" s="103" t="s">
        <v>12</v>
      </c>
      <c r="J28" s="103" t="s">
        <v>12</v>
      </c>
      <c r="K28" s="103"/>
      <c r="L28" s="103"/>
      <c r="M28" s="31" t="s">
        <v>166</v>
      </c>
      <c r="N28" s="161" t="s">
        <v>605</v>
      </c>
      <c r="O28" s="32" t="s">
        <v>167</v>
      </c>
      <c r="P28" s="31" t="s">
        <v>99</v>
      </c>
      <c r="Q28" s="36">
        <v>1</v>
      </c>
      <c r="R28" s="36">
        <v>2</v>
      </c>
      <c r="S28" s="36">
        <f t="shared" si="0"/>
        <v>3</v>
      </c>
      <c r="T28" s="36">
        <v>2</v>
      </c>
      <c r="U28" s="36">
        <f>VLOOKUP($T28,Cotation!$G$6:$H$10,2,(FALSE))</f>
        <v>5</v>
      </c>
      <c r="V28" s="33" t="str">
        <f>HLOOKUP($S28,Cotation!$I$5:$M$10,'Risk Register'!U28,(TRUE))</f>
        <v>F</v>
      </c>
      <c r="W28" s="31" t="s">
        <v>151</v>
      </c>
      <c r="X28" s="170" t="s">
        <v>472</v>
      </c>
      <c r="Y28" s="165" t="s">
        <v>478</v>
      </c>
      <c r="Z28" s="67">
        <v>0.25</v>
      </c>
      <c r="AA28" s="35" t="s">
        <v>152</v>
      </c>
      <c r="AB28" s="67">
        <v>0.25</v>
      </c>
      <c r="AC28" s="165" t="s">
        <v>479</v>
      </c>
      <c r="AD28" s="67">
        <v>0.25</v>
      </c>
      <c r="AE28" s="34">
        <f t="shared" si="1"/>
        <v>0.25</v>
      </c>
      <c r="AF28" s="32">
        <f t="shared" si="2"/>
        <v>0.75</v>
      </c>
      <c r="AG28" s="33" t="str">
        <f>HLOOKUP($AF28,Cotation!$I$5:$M$10,'Risk Register'!U28,(TRUE))</f>
        <v>F</v>
      </c>
      <c r="AH28" s="31"/>
      <c r="AI28" s="9"/>
    </row>
    <row r="29" spans="1:35" s="10" customFormat="1" ht="85.9" customHeight="1" x14ac:dyDescent="0.25">
      <c r="A29" s="8"/>
      <c r="B29" s="107" t="s">
        <v>147</v>
      </c>
      <c r="C29" s="108" t="s">
        <v>168</v>
      </c>
      <c r="D29" s="106"/>
      <c r="E29" s="103"/>
      <c r="F29" s="103"/>
      <c r="G29" s="103" t="s">
        <v>12</v>
      </c>
      <c r="H29" s="103" t="s">
        <v>12</v>
      </c>
      <c r="I29" s="103" t="s">
        <v>12</v>
      </c>
      <c r="J29" s="103" t="s">
        <v>12</v>
      </c>
      <c r="K29" s="103"/>
      <c r="L29" s="103"/>
      <c r="M29" s="31" t="s">
        <v>169</v>
      </c>
      <c r="N29" s="161" t="s">
        <v>605</v>
      </c>
      <c r="O29" s="32" t="s">
        <v>167</v>
      </c>
      <c r="P29" s="31" t="s">
        <v>99</v>
      </c>
      <c r="Q29" s="36">
        <v>1</v>
      </c>
      <c r="R29" s="36">
        <v>2</v>
      </c>
      <c r="S29" s="36">
        <f t="shared" si="0"/>
        <v>3</v>
      </c>
      <c r="T29" s="36">
        <v>2</v>
      </c>
      <c r="U29" s="36">
        <f>VLOOKUP($T29,Cotation!$G$6:$H$10,2,(FALSE))</f>
        <v>5</v>
      </c>
      <c r="V29" s="33" t="str">
        <f>HLOOKUP($S29,Cotation!$I$5:$M$10,'Risk Register'!U29,(TRUE))</f>
        <v>F</v>
      </c>
      <c r="W29" s="31" t="s">
        <v>151</v>
      </c>
      <c r="X29" s="170" t="s">
        <v>472</v>
      </c>
      <c r="Y29" s="35" t="s">
        <v>473</v>
      </c>
      <c r="Z29" s="67">
        <v>0.25</v>
      </c>
      <c r="AA29" s="35" t="s">
        <v>104</v>
      </c>
      <c r="AB29" s="67">
        <v>0</v>
      </c>
      <c r="AC29" s="165" t="s">
        <v>479</v>
      </c>
      <c r="AD29" s="67">
        <v>0.25</v>
      </c>
      <c r="AE29" s="34">
        <f t="shared" si="1"/>
        <v>0.5</v>
      </c>
      <c r="AF29" s="32">
        <f t="shared" si="2"/>
        <v>1.5</v>
      </c>
      <c r="AG29" s="33" t="str">
        <f>HLOOKUP($AF29,Cotation!$I$5:$M$10,'Risk Register'!U29,(TRUE))</f>
        <v>F</v>
      </c>
      <c r="AH29" s="31"/>
      <c r="AI29" s="9"/>
    </row>
    <row r="30" spans="1:35" s="10" customFormat="1" ht="48.65" customHeight="1" x14ac:dyDescent="0.25">
      <c r="A30" s="8"/>
      <c r="B30" s="46" t="s">
        <v>95</v>
      </c>
      <c r="C30" s="108" t="s">
        <v>170</v>
      </c>
      <c r="D30" s="106"/>
      <c r="E30" s="103"/>
      <c r="F30" s="103"/>
      <c r="G30" s="103" t="s">
        <v>12</v>
      </c>
      <c r="H30" s="103" t="s">
        <v>12</v>
      </c>
      <c r="I30" s="103"/>
      <c r="J30" s="103"/>
      <c r="K30" s="103"/>
      <c r="L30" s="103"/>
      <c r="M30" s="31" t="s">
        <v>97</v>
      </c>
      <c r="N30" s="161" t="s">
        <v>575</v>
      </c>
      <c r="O30" s="32" t="s">
        <v>171</v>
      </c>
      <c r="P30" s="31" t="s">
        <v>110</v>
      </c>
      <c r="Q30" s="36">
        <v>3</v>
      </c>
      <c r="R30" s="36">
        <v>3</v>
      </c>
      <c r="S30" s="36">
        <f t="shared" si="0"/>
        <v>6</v>
      </c>
      <c r="T30" s="36">
        <v>4</v>
      </c>
      <c r="U30" s="36">
        <f>VLOOKUP($T30,Cotation!$G$6:$H$10,2,(FALSE))</f>
        <v>3</v>
      </c>
      <c r="V30" s="33" t="str">
        <f>HLOOKUP($S30,Cotation!$I$5:$M$10,'Risk Register'!U30,(TRUE))</f>
        <v>S</v>
      </c>
      <c r="W30" s="31" t="s">
        <v>100</v>
      </c>
      <c r="X30" s="170" t="s">
        <v>457</v>
      </c>
      <c r="Y30" s="165" t="s">
        <v>456</v>
      </c>
      <c r="Z30" s="67">
        <v>0.25</v>
      </c>
      <c r="AA30" s="165" t="s">
        <v>480</v>
      </c>
      <c r="AB30" s="67">
        <v>0.25</v>
      </c>
      <c r="AC30" s="165" t="s">
        <v>460</v>
      </c>
      <c r="AD30" s="67">
        <v>0.25</v>
      </c>
      <c r="AE30" s="34">
        <f t="shared" si="1"/>
        <v>0.25</v>
      </c>
      <c r="AF30" s="32">
        <f t="shared" si="2"/>
        <v>1.5</v>
      </c>
      <c r="AG30" s="33" t="str">
        <f>HLOOKUP($AF30,Cotation!$I$5:$M$10,'Risk Register'!U30,(TRUE))</f>
        <v>M</v>
      </c>
      <c r="AH30" s="31"/>
      <c r="AI30" s="9"/>
    </row>
    <row r="31" spans="1:35" ht="61.9" customHeight="1" x14ac:dyDescent="0.35">
      <c r="A31" s="8"/>
      <c r="B31" s="46" t="s">
        <v>95</v>
      </c>
      <c r="C31" s="108" t="s">
        <v>172</v>
      </c>
      <c r="D31" s="106"/>
      <c r="E31" s="103"/>
      <c r="F31" s="103"/>
      <c r="G31" s="103"/>
      <c r="H31" s="103" t="s">
        <v>12</v>
      </c>
      <c r="I31" s="103"/>
      <c r="J31" s="103"/>
      <c r="K31" s="103"/>
      <c r="L31" s="103"/>
      <c r="M31" s="31" t="s">
        <v>97</v>
      </c>
      <c r="N31" s="161" t="s">
        <v>575</v>
      </c>
      <c r="O31" s="32" t="s">
        <v>173</v>
      </c>
      <c r="P31" s="31" t="s">
        <v>110</v>
      </c>
      <c r="Q31" s="36">
        <v>3</v>
      </c>
      <c r="R31" s="36">
        <v>3</v>
      </c>
      <c r="S31" s="36">
        <f t="shared" si="0"/>
        <v>6</v>
      </c>
      <c r="T31" s="36">
        <v>4</v>
      </c>
      <c r="U31" s="36">
        <f>VLOOKUP($T31,Cotation!$G$6:$H$10,2,(FALSE))</f>
        <v>3</v>
      </c>
      <c r="V31" s="33" t="str">
        <f>HLOOKUP($S31,Cotation!$I$5:$M$10,'Risk Register'!U31,(TRUE))</f>
        <v>S</v>
      </c>
      <c r="W31" s="31" t="s">
        <v>100</v>
      </c>
      <c r="X31" s="170" t="s">
        <v>457</v>
      </c>
      <c r="Y31" s="165" t="s">
        <v>456</v>
      </c>
      <c r="Z31" s="67">
        <v>0.25</v>
      </c>
      <c r="AA31" s="165" t="s">
        <v>481</v>
      </c>
      <c r="AB31" s="67">
        <v>0.25</v>
      </c>
      <c r="AC31" s="165" t="s">
        <v>460</v>
      </c>
      <c r="AD31" s="67">
        <v>0.25</v>
      </c>
      <c r="AE31" s="34">
        <f t="shared" si="1"/>
        <v>0.25</v>
      </c>
      <c r="AF31" s="32">
        <f t="shared" si="2"/>
        <v>1.5</v>
      </c>
      <c r="AG31" s="33" t="str">
        <f>HLOOKUP($AF31,Cotation!$I$5:$M$10,'Risk Register'!U31,(TRUE))</f>
        <v>M</v>
      </c>
      <c r="AH31" s="31"/>
      <c r="AI31" s="9"/>
    </row>
    <row r="32" spans="1:35" ht="37.9" customHeight="1" x14ac:dyDescent="0.35">
      <c r="A32" s="8"/>
      <c r="B32" s="107" t="s">
        <v>174</v>
      </c>
      <c r="C32" s="108" t="s">
        <v>175</v>
      </c>
      <c r="D32" s="105"/>
      <c r="E32" s="104"/>
      <c r="F32" s="104"/>
      <c r="G32" s="104" t="s">
        <v>12</v>
      </c>
      <c r="H32" s="104" t="s">
        <v>12</v>
      </c>
      <c r="I32" s="104"/>
      <c r="J32" s="104" t="s">
        <v>12</v>
      </c>
      <c r="K32" s="103"/>
      <c r="L32" s="103"/>
      <c r="M32" s="31" t="s">
        <v>176</v>
      </c>
      <c r="N32" s="161" t="s">
        <v>605</v>
      </c>
      <c r="O32" s="32" t="s">
        <v>177</v>
      </c>
      <c r="P32" s="31" t="s">
        <v>110</v>
      </c>
      <c r="Q32" s="36">
        <v>2</v>
      </c>
      <c r="R32" s="36">
        <v>3</v>
      </c>
      <c r="S32" s="36">
        <f t="shared" si="0"/>
        <v>5</v>
      </c>
      <c r="T32" s="36">
        <v>2</v>
      </c>
      <c r="U32" s="36">
        <f>VLOOKUP($T32,Cotation!$G$6:$H$10,2,(FALSE))</f>
        <v>5</v>
      </c>
      <c r="V32" s="33" t="str">
        <f>HLOOKUP($S32,Cotation!$I$5:$M$10,'Risk Register'!U32,(TRUE))</f>
        <v>M</v>
      </c>
      <c r="W32" s="31" t="s">
        <v>178</v>
      </c>
      <c r="X32" s="31" t="s">
        <v>104</v>
      </c>
      <c r="Y32" s="35" t="s">
        <v>179</v>
      </c>
      <c r="Z32" s="67">
        <v>0.25</v>
      </c>
      <c r="AA32" s="35" t="s">
        <v>120</v>
      </c>
      <c r="AB32" s="67">
        <v>0</v>
      </c>
      <c r="AC32" s="35" t="s">
        <v>180</v>
      </c>
      <c r="AD32" s="67">
        <v>0.25</v>
      </c>
      <c r="AE32" s="34">
        <f t="shared" si="1"/>
        <v>0.5</v>
      </c>
      <c r="AF32" s="32">
        <f t="shared" si="2"/>
        <v>2.5</v>
      </c>
      <c r="AG32" s="33" t="str">
        <f>HLOOKUP($AF32,Cotation!$I$5:$M$10,'Risk Register'!U32,(TRUE))</f>
        <v>F</v>
      </c>
      <c r="AH32" s="31"/>
      <c r="AI32" s="9"/>
    </row>
    <row r="33" spans="1:35" ht="43.15" customHeight="1" x14ac:dyDescent="0.35">
      <c r="A33" s="8"/>
      <c r="B33" s="107" t="s">
        <v>174</v>
      </c>
      <c r="C33" s="108" t="s">
        <v>181</v>
      </c>
      <c r="D33" s="105"/>
      <c r="E33" s="104"/>
      <c r="F33" s="104"/>
      <c r="G33" s="104" t="s">
        <v>12</v>
      </c>
      <c r="H33" s="104" t="s">
        <v>12</v>
      </c>
      <c r="I33" s="104"/>
      <c r="J33" s="104" t="s">
        <v>12</v>
      </c>
      <c r="K33" s="103"/>
      <c r="L33" s="103"/>
      <c r="M33" s="31" t="s">
        <v>176</v>
      </c>
      <c r="N33" s="161" t="s">
        <v>573</v>
      </c>
      <c r="O33" s="32" t="s">
        <v>182</v>
      </c>
      <c r="P33" s="31" t="s">
        <v>110</v>
      </c>
      <c r="Q33" s="36">
        <v>3</v>
      </c>
      <c r="R33" s="36">
        <v>2</v>
      </c>
      <c r="S33" s="36">
        <f t="shared" si="0"/>
        <v>5</v>
      </c>
      <c r="T33" s="36">
        <v>3</v>
      </c>
      <c r="U33" s="36">
        <f>VLOOKUP($T33,Cotation!$G$6:$H$10,2,(FALSE))</f>
        <v>4</v>
      </c>
      <c r="V33" s="33" t="str">
        <f>HLOOKUP($S33,Cotation!$I$5:$M$10,'Risk Register'!U33,(TRUE))</f>
        <v>M</v>
      </c>
      <c r="W33" s="31" t="s">
        <v>178</v>
      </c>
      <c r="X33" s="31" t="s">
        <v>104</v>
      </c>
      <c r="Y33" s="35" t="s">
        <v>179</v>
      </c>
      <c r="Z33" s="67">
        <v>0.25</v>
      </c>
      <c r="AA33" s="35" t="s">
        <v>131</v>
      </c>
      <c r="AB33" s="67">
        <v>0.1</v>
      </c>
      <c r="AC33" s="35" t="s">
        <v>183</v>
      </c>
      <c r="AD33" s="67">
        <v>0.1</v>
      </c>
      <c r="AE33" s="34">
        <f t="shared" si="1"/>
        <v>0.55000000000000004</v>
      </c>
      <c r="AF33" s="32">
        <f t="shared" si="2"/>
        <v>2.75</v>
      </c>
      <c r="AG33" s="33" t="str">
        <f>HLOOKUP($AF33,Cotation!$I$5:$M$10,'Risk Register'!U33,(TRUE))</f>
        <v>M</v>
      </c>
      <c r="AH33" s="31"/>
      <c r="AI33" s="9"/>
    </row>
    <row r="34" spans="1:35" ht="78" customHeight="1" x14ac:dyDescent="0.35">
      <c r="A34" s="8"/>
      <c r="B34" s="107" t="s">
        <v>160</v>
      </c>
      <c r="C34" s="108" t="s">
        <v>184</v>
      </c>
      <c r="D34" s="106"/>
      <c r="E34" s="103"/>
      <c r="F34" s="103"/>
      <c r="G34" s="103"/>
      <c r="H34" s="103"/>
      <c r="I34" s="103" t="s">
        <v>12</v>
      </c>
      <c r="J34" s="103"/>
      <c r="K34" s="103"/>
      <c r="L34" s="103"/>
      <c r="M34" s="31"/>
      <c r="N34" s="161" t="s">
        <v>575</v>
      </c>
      <c r="O34" s="32" t="s">
        <v>185</v>
      </c>
      <c r="P34" s="31" t="s">
        <v>110</v>
      </c>
      <c r="Q34" s="36">
        <v>2</v>
      </c>
      <c r="R34" s="36">
        <v>1</v>
      </c>
      <c r="S34" s="36">
        <f t="shared" si="0"/>
        <v>3</v>
      </c>
      <c r="T34" s="36">
        <v>2</v>
      </c>
      <c r="U34" s="36">
        <f>VLOOKUP($T34,Cotation!$G$6:$H$10,2,(FALSE))</f>
        <v>5</v>
      </c>
      <c r="V34" s="33" t="str">
        <f>HLOOKUP($S34,Cotation!$I$5:$M$10,'Risk Register'!U34,(TRUE))</f>
        <v>F</v>
      </c>
      <c r="W34" s="31" t="s">
        <v>186</v>
      </c>
      <c r="X34" s="170" t="s">
        <v>457</v>
      </c>
      <c r="Y34" s="165" t="s">
        <v>485</v>
      </c>
      <c r="Z34" s="67">
        <v>0.25</v>
      </c>
      <c r="AA34" s="165" t="s">
        <v>483</v>
      </c>
      <c r="AB34" s="67">
        <v>0.25</v>
      </c>
      <c r="AC34" s="165" t="s">
        <v>460</v>
      </c>
      <c r="AD34" s="67">
        <v>0.25</v>
      </c>
      <c r="AE34" s="34">
        <f t="shared" si="1"/>
        <v>0.25</v>
      </c>
      <c r="AF34" s="32">
        <f t="shared" si="2"/>
        <v>0.75</v>
      </c>
      <c r="AG34" s="33" t="str">
        <f>HLOOKUP($AF34,Cotation!$I$5:$M$10,'Risk Register'!U34,(TRUE))</f>
        <v>F</v>
      </c>
      <c r="AH34" s="31"/>
      <c r="AI34" s="9"/>
    </row>
    <row r="35" spans="1:35" ht="51.65" customHeight="1" x14ac:dyDescent="0.35">
      <c r="A35" s="8"/>
      <c r="B35" s="107" t="s">
        <v>188</v>
      </c>
      <c r="C35" s="108" t="s">
        <v>189</v>
      </c>
      <c r="D35" s="106"/>
      <c r="E35" s="103"/>
      <c r="F35" s="103"/>
      <c r="G35" s="103"/>
      <c r="H35" s="103"/>
      <c r="I35" s="103" t="s">
        <v>12</v>
      </c>
      <c r="J35" s="103"/>
      <c r="K35" s="103"/>
      <c r="L35" s="103"/>
      <c r="M35" s="31" t="s">
        <v>190</v>
      </c>
      <c r="N35" s="161" t="s">
        <v>599</v>
      </c>
      <c r="O35" s="32" t="s">
        <v>191</v>
      </c>
      <c r="P35" s="31" t="s">
        <v>110</v>
      </c>
      <c r="Q35" s="36">
        <v>1</v>
      </c>
      <c r="R35" s="36">
        <v>1</v>
      </c>
      <c r="S35" s="36">
        <f t="shared" si="0"/>
        <v>2</v>
      </c>
      <c r="T35" s="36">
        <v>3</v>
      </c>
      <c r="U35" s="36">
        <f>VLOOKUP($T35,Cotation!$G$6:$H$10,2,(FALSE))</f>
        <v>4</v>
      </c>
      <c r="V35" s="33" t="str">
        <f>HLOOKUP($S35,Cotation!$I$5:$M$10,'Risk Register'!U35,(TRUE))</f>
        <v>M</v>
      </c>
      <c r="W35" s="31" t="s">
        <v>104</v>
      </c>
      <c r="X35" s="31" t="s">
        <v>104</v>
      </c>
      <c r="Y35" s="165" t="s">
        <v>484</v>
      </c>
      <c r="Z35" s="67">
        <v>0.25</v>
      </c>
      <c r="AA35" s="35" t="s">
        <v>187</v>
      </c>
      <c r="AB35" s="67">
        <v>0.25</v>
      </c>
      <c r="AC35" s="165" t="s">
        <v>526</v>
      </c>
      <c r="AD35" s="67">
        <v>0.25</v>
      </c>
      <c r="AE35" s="34">
        <f t="shared" si="1"/>
        <v>0.25</v>
      </c>
      <c r="AF35" s="32">
        <f t="shared" si="2"/>
        <v>0.5</v>
      </c>
      <c r="AG35" s="33" t="str">
        <f>HLOOKUP($AF35,Cotation!$I$5:$M$10,'Risk Register'!U35,(TRUE))</f>
        <v>F</v>
      </c>
      <c r="AH35" s="31"/>
      <c r="AI35" s="9"/>
    </row>
    <row r="36" spans="1:35" ht="74.5" customHeight="1" x14ac:dyDescent="0.35">
      <c r="A36" s="8"/>
      <c r="B36" s="107" t="s">
        <v>188</v>
      </c>
      <c r="C36" s="108" t="s">
        <v>192</v>
      </c>
      <c r="D36" s="106"/>
      <c r="E36" s="103"/>
      <c r="F36" s="103"/>
      <c r="G36" s="103"/>
      <c r="H36" s="103" t="s">
        <v>12</v>
      </c>
      <c r="I36" s="103" t="s">
        <v>12</v>
      </c>
      <c r="J36" s="103" t="s">
        <v>12</v>
      </c>
      <c r="K36" s="103"/>
      <c r="L36" s="103"/>
      <c r="M36" s="31" t="s">
        <v>190</v>
      </c>
      <c r="N36" s="161" t="s">
        <v>599</v>
      </c>
      <c r="O36" s="32" t="s">
        <v>193</v>
      </c>
      <c r="P36" s="31" t="s">
        <v>110</v>
      </c>
      <c r="Q36" s="36">
        <v>2</v>
      </c>
      <c r="R36" s="36">
        <v>1</v>
      </c>
      <c r="S36" s="36">
        <f t="shared" si="0"/>
        <v>3</v>
      </c>
      <c r="T36" s="36">
        <v>3</v>
      </c>
      <c r="U36" s="36">
        <f>VLOOKUP($T36,Cotation!$G$6:$H$10,2,(FALSE))</f>
        <v>4</v>
      </c>
      <c r="V36" s="33" t="str">
        <f>HLOOKUP($S36,Cotation!$I$5:$M$10,'Risk Register'!U36,(TRUE))</f>
        <v>M</v>
      </c>
      <c r="W36" s="31" t="s">
        <v>104</v>
      </c>
      <c r="X36" s="31" t="s">
        <v>104</v>
      </c>
      <c r="Y36" s="165" t="s">
        <v>484</v>
      </c>
      <c r="Z36" s="67">
        <v>0.25</v>
      </c>
      <c r="AA36" s="35" t="s">
        <v>487</v>
      </c>
      <c r="AB36" s="67">
        <v>0.25</v>
      </c>
      <c r="AC36" s="165" t="s">
        <v>486</v>
      </c>
      <c r="AD36" s="67">
        <v>0.25</v>
      </c>
      <c r="AE36" s="34">
        <f t="shared" si="1"/>
        <v>0.25</v>
      </c>
      <c r="AF36" s="32">
        <f t="shared" si="2"/>
        <v>0.75</v>
      </c>
      <c r="AG36" s="33" t="str">
        <f>HLOOKUP($AF36,Cotation!$I$5:$M$10,'Risk Register'!U36,(TRUE))</f>
        <v>F</v>
      </c>
      <c r="AH36" s="31"/>
      <c r="AI36" s="9"/>
    </row>
    <row r="37" spans="1:35" ht="73.900000000000006" customHeight="1" x14ac:dyDescent="0.35">
      <c r="A37" s="8"/>
      <c r="B37" s="107" t="s">
        <v>188</v>
      </c>
      <c r="C37" s="108" t="s">
        <v>194</v>
      </c>
      <c r="D37" s="106"/>
      <c r="E37" s="103"/>
      <c r="F37" s="103"/>
      <c r="G37" s="103"/>
      <c r="H37" s="103" t="s">
        <v>12</v>
      </c>
      <c r="I37" s="103" t="s">
        <v>12</v>
      </c>
      <c r="J37" s="103" t="s">
        <v>12</v>
      </c>
      <c r="K37" s="103"/>
      <c r="L37" s="103"/>
      <c r="M37" s="31" t="s">
        <v>190</v>
      </c>
      <c r="N37" s="161" t="s">
        <v>599</v>
      </c>
      <c r="O37" s="32" t="s">
        <v>195</v>
      </c>
      <c r="P37" s="31" t="s">
        <v>110</v>
      </c>
      <c r="Q37" s="36">
        <v>2</v>
      </c>
      <c r="R37" s="36">
        <v>1</v>
      </c>
      <c r="S37" s="36">
        <f t="shared" si="0"/>
        <v>3</v>
      </c>
      <c r="T37" s="36">
        <v>3</v>
      </c>
      <c r="U37" s="36">
        <f>VLOOKUP($T37,Cotation!$G$6:$H$10,2,(FALSE))</f>
        <v>4</v>
      </c>
      <c r="V37" s="33" t="str">
        <f>HLOOKUP($S37,Cotation!$I$5:$M$10,'Risk Register'!U37,(TRUE))</f>
        <v>M</v>
      </c>
      <c r="W37" s="31" t="s">
        <v>104</v>
      </c>
      <c r="X37" s="31" t="s">
        <v>104</v>
      </c>
      <c r="Y37" s="165" t="s">
        <v>484</v>
      </c>
      <c r="Z37" s="67">
        <v>0.25</v>
      </c>
      <c r="AA37" s="35" t="s">
        <v>487</v>
      </c>
      <c r="AB37" s="67">
        <v>0.25</v>
      </c>
      <c r="AC37" s="165" t="s">
        <v>527</v>
      </c>
      <c r="AD37" s="67">
        <v>0.25</v>
      </c>
      <c r="AE37" s="34">
        <f t="shared" si="1"/>
        <v>0.25</v>
      </c>
      <c r="AF37" s="32">
        <f t="shared" si="2"/>
        <v>0.75</v>
      </c>
      <c r="AG37" s="33" t="str">
        <f>HLOOKUP($AF37,Cotation!$I$5:$M$10,'Risk Register'!U37,(TRUE))</f>
        <v>F</v>
      </c>
      <c r="AH37" s="31"/>
      <c r="AI37" s="9"/>
    </row>
    <row r="38" spans="1:35" ht="73.900000000000006" customHeight="1" x14ac:dyDescent="0.35">
      <c r="A38" s="8"/>
      <c r="B38" s="107" t="s">
        <v>188</v>
      </c>
      <c r="C38" s="108" t="s">
        <v>196</v>
      </c>
      <c r="D38" s="106"/>
      <c r="E38" s="103"/>
      <c r="F38" s="103"/>
      <c r="G38" s="103"/>
      <c r="H38" s="103" t="s">
        <v>12</v>
      </c>
      <c r="I38" s="103" t="s">
        <v>12</v>
      </c>
      <c r="J38" s="103" t="s">
        <v>12</v>
      </c>
      <c r="K38" s="103"/>
      <c r="L38" s="103"/>
      <c r="M38" s="31" t="s">
        <v>190</v>
      </c>
      <c r="N38" s="161" t="s">
        <v>599</v>
      </c>
      <c r="O38" s="32" t="s">
        <v>197</v>
      </c>
      <c r="P38" s="31" t="s">
        <v>110</v>
      </c>
      <c r="Q38" s="36">
        <v>5</v>
      </c>
      <c r="R38" s="36">
        <v>2</v>
      </c>
      <c r="S38" s="36">
        <f t="shared" si="0"/>
        <v>7</v>
      </c>
      <c r="T38" s="36">
        <v>3</v>
      </c>
      <c r="U38" s="36">
        <f>VLOOKUP($T38,Cotation!$G$6:$H$10,2,(FALSE))</f>
        <v>4</v>
      </c>
      <c r="V38" s="33" t="str">
        <f>HLOOKUP($S38,Cotation!$I$5:$M$10,'Risk Register'!U38,(TRUE))</f>
        <v>S</v>
      </c>
      <c r="W38" s="31" t="s">
        <v>198</v>
      </c>
      <c r="X38" s="31" t="s">
        <v>104</v>
      </c>
      <c r="Y38" s="165" t="s">
        <v>484</v>
      </c>
      <c r="Z38" s="67">
        <v>0.25</v>
      </c>
      <c r="AA38" s="35" t="s">
        <v>487</v>
      </c>
      <c r="AB38" s="67">
        <v>0.25</v>
      </c>
      <c r="AC38" s="165" t="s">
        <v>527</v>
      </c>
      <c r="AD38" s="67">
        <v>0.25</v>
      </c>
      <c r="AE38" s="34">
        <f t="shared" si="1"/>
        <v>0.25</v>
      </c>
      <c r="AF38" s="32">
        <f t="shared" si="2"/>
        <v>1.75</v>
      </c>
      <c r="AG38" s="33" t="str">
        <f>HLOOKUP($AF38,Cotation!$I$5:$M$10,'Risk Register'!U38,(TRUE))</f>
        <v>F</v>
      </c>
      <c r="AH38" s="31"/>
      <c r="AI38" s="9"/>
    </row>
    <row r="39" spans="1:35" ht="73.900000000000006" customHeight="1" x14ac:dyDescent="0.35">
      <c r="A39" s="8"/>
      <c r="B39" s="107" t="s">
        <v>188</v>
      </c>
      <c r="C39" s="108" t="s">
        <v>199</v>
      </c>
      <c r="D39" s="106"/>
      <c r="E39" s="103"/>
      <c r="F39" s="103"/>
      <c r="G39" s="103" t="s">
        <v>12</v>
      </c>
      <c r="H39" s="103" t="s">
        <v>12</v>
      </c>
      <c r="I39" s="103" t="s">
        <v>12</v>
      </c>
      <c r="J39" s="103" t="s">
        <v>12</v>
      </c>
      <c r="K39" s="103"/>
      <c r="L39" s="103"/>
      <c r="M39" s="31" t="s">
        <v>190</v>
      </c>
      <c r="N39" s="161" t="s">
        <v>599</v>
      </c>
      <c r="O39" s="32" t="s">
        <v>200</v>
      </c>
      <c r="P39" s="31" t="s">
        <v>110</v>
      </c>
      <c r="Q39" s="36">
        <v>4</v>
      </c>
      <c r="R39" s="36">
        <v>1</v>
      </c>
      <c r="S39" s="36">
        <f t="shared" si="0"/>
        <v>5</v>
      </c>
      <c r="T39" s="36">
        <v>2</v>
      </c>
      <c r="U39" s="36">
        <f>VLOOKUP($T39,Cotation!$G$6:$H$10,2,(FALSE))</f>
        <v>5</v>
      </c>
      <c r="V39" s="33" t="str">
        <f>HLOOKUP($S39,Cotation!$I$5:$M$10,'Risk Register'!U39,(TRUE))</f>
        <v>M</v>
      </c>
      <c r="W39" s="31" t="s">
        <v>198</v>
      </c>
      <c r="X39" s="31" t="s">
        <v>104</v>
      </c>
      <c r="Y39" s="165" t="s">
        <v>484</v>
      </c>
      <c r="Z39" s="67">
        <v>0.25</v>
      </c>
      <c r="AA39" s="35" t="s">
        <v>487</v>
      </c>
      <c r="AB39" s="67">
        <v>0.25</v>
      </c>
      <c r="AC39" s="165" t="s">
        <v>527</v>
      </c>
      <c r="AD39" s="67">
        <v>0.25</v>
      </c>
      <c r="AE39" s="34">
        <f t="shared" si="1"/>
        <v>0.25</v>
      </c>
      <c r="AF39" s="32">
        <f t="shared" si="2"/>
        <v>1.25</v>
      </c>
      <c r="AG39" s="33" t="str">
        <f>HLOOKUP($AF39,Cotation!$I$5:$M$10,'Risk Register'!U39,(TRUE))</f>
        <v>F</v>
      </c>
      <c r="AH39" s="31"/>
      <c r="AI39" s="9"/>
    </row>
    <row r="40" spans="1:35" ht="73.900000000000006" customHeight="1" x14ac:dyDescent="0.35">
      <c r="A40" s="8"/>
      <c r="B40" s="107" t="s">
        <v>188</v>
      </c>
      <c r="C40" s="108" t="s">
        <v>201</v>
      </c>
      <c r="D40" s="106"/>
      <c r="E40" s="103"/>
      <c r="F40" s="103"/>
      <c r="G40" s="103" t="s">
        <v>12</v>
      </c>
      <c r="H40" s="103" t="s">
        <v>12</v>
      </c>
      <c r="I40" s="103" t="s">
        <v>12</v>
      </c>
      <c r="J40" s="103" t="s">
        <v>12</v>
      </c>
      <c r="K40" s="103"/>
      <c r="L40" s="103"/>
      <c r="M40" s="31" t="s">
        <v>202</v>
      </c>
      <c r="N40" s="161" t="s">
        <v>599</v>
      </c>
      <c r="O40" s="32" t="s">
        <v>203</v>
      </c>
      <c r="P40" s="31" t="s">
        <v>110</v>
      </c>
      <c r="Q40" s="36">
        <v>4</v>
      </c>
      <c r="R40" s="36">
        <v>1</v>
      </c>
      <c r="S40" s="36">
        <f t="shared" si="0"/>
        <v>5</v>
      </c>
      <c r="T40" s="36">
        <v>3</v>
      </c>
      <c r="U40" s="36">
        <f>VLOOKUP($T40,Cotation!$G$6:$H$10,2,(FALSE))</f>
        <v>4</v>
      </c>
      <c r="V40" s="33" t="str">
        <f>HLOOKUP($S40,Cotation!$I$5:$M$10,'Risk Register'!U40,(TRUE))</f>
        <v>M</v>
      </c>
      <c r="W40" s="31" t="s">
        <v>198</v>
      </c>
      <c r="X40" s="31" t="s">
        <v>104</v>
      </c>
      <c r="Y40" s="165" t="s">
        <v>484</v>
      </c>
      <c r="Z40" s="67">
        <v>0.25</v>
      </c>
      <c r="AA40" s="35" t="s">
        <v>487</v>
      </c>
      <c r="AB40" s="67">
        <v>0.25</v>
      </c>
      <c r="AC40" s="165" t="s">
        <v>527</v>
      </c>
      <c r="AD40" s="67">
        <v>0.25</v>
      </c>
      <c r="AE40" s="34">
        <f t="shared" si="1"/>
        <v>0.25</v>
      </c>
      <c r="AF40" s="32">
        <f t="shared" si="2"/>
        <v>1.25</v>
      </c>
      <c r="AG40" s="33" t="str">
        <f>HLOOKUP($AF40,Cotation!$I$5:$M$10,'Risk Register'!U40,(TRUE))</f>
        <v>F</v>
      </c>
      <c r="AH40" s="31"/>
      <c r="AI40" s="9"/>
    </row>
    <row r="41" spans="1:35" ht="73.900000000000006" customHeight="1" x14ac:dyDescent="0.35">
      <c r="A41" s="8"/>
      <c r="B41" s="107" t="s">
        <v>188</v>
      </c>
      <c r="C41" s="108" t="s">
        <v>204</v>
      </c>
      <c r="D41" s="106"/>
      <c r="E41" s="103"/>
      <c r="F41" s="103"/>
      <c r="G41" s="103" t="s">
        <v>12</v>
      </c>
      <c r="H41" s="103" t="s">
        <v>12</v>
      </c>
      <c r="I41" s="103" t="s">
        <v>12</v>
      </c>
      <c r="J41" s="103" t="s">
        <v>12</v>
      </c>
      <c r="K41" s="103"/>
      <c r="L41" s="103"/>
      <c r="M41" s="31" t="s">
        <v>205</v>
      </c>
      <c r="N41" s="161" t="s">
        <v>599</v>
      </c>
      <c r="O41" s="32" t="s">
        <v>206</v>
      </c>
      <c r="P41" s="31" t="s">
        <v>110</v>
      </c>
      <c r="Q41" s="36">
        <v>4</v>
      </c>
      <c r="R41" s="36">
        <v>1</v>
      </c>
      <c r="S41" s="36">
        <f t="shared" si="0"/>
        <v>5</v>
      </c>
      <c r="T41" s="36">
        <v>2</v>
      </c>
      <c r="U41" s="36">
        <f>VLOOKUP($T41,Cotation!$G$6:$H$10,2,(FALSE))</f>
        <v>5</v>
      </c>
      <c r="V41" s="33" t="str">
        <f>HLOOKUP($S41,Cotation!$I$5:$M$10,'Risk Register'!U41,(TRUE))</f>
        <v>M</v>
      </c>
      <c r="W41" s="31" t="s">
        <v>198</v>
      </c>
      <c r="X41" s="31" t="s">
        <v>104</v>
      </c>
      <c r="Y41" s="165" t="s">
        <v>484</v>
      </c>
      <c r="Z41" s="67">
        <v>0.25</v>
      </c>
      <c r="AA41" s="35" t="s">
        <v>487</v>
      </c>
      <c r="AB41" s="67">
        <v>0.25</v>
      </c>
      <c r="AC41" s="165" t="s">
        <v>527</v>
      </c>
      <c r="AD41" s="67">
        <v>0.25</v>
      </c>
      <c r="AE41" s="34">
        <f t="shared" ref="AE41:AE43" si="12">100%-(Z41+AB41+AD41)</f>
        <v>0.25</v>
      </c>
      <c r="AF41" s="32">
        <f t="shared" ref="AF41:AF43" si="13">S41*AE41</f>
        <v>1.25</v>
      </c>
      <c r="AG41" s="33" t="str">
        <f>HLOOKUP($AF41,Cotation!$I$5:$M$10,'Risk Register'!U41,(TRUE))</f>
        <v>F</v>
      </c>
      <c r="AH41" s="31"/>
      <c r="AI41" s="9"/>
    </row>
    <row r="42" spans="1:35" ht="73.900000000000006" customHeight="1" x14ac:dyDescent="0.35">
      <c r="A42" s="8"/>
      <c r="B42" s="107" t="s">
        <v>188</v>
      </c>
      <c r="C42" s="108" t="s">
        <v>207</v>
      </c>
      <c r="D42" s="106"/>
      <c r="E42" s="103"/>
      <c r="F42" s="103"/>
      <c r="G42" s="103"/>
      <c r="H42" s="103" t="s">
        <v>12</v>
      </c>
      <c r="I42" s="103"/>
      <c r="J42" s="103" t="s">
        <v>12</v>
      </c>
      <c r="K42" s="103"/>
      <c r="L42" s="103"/>
      <c r="M42" s="31" t="s">
        <v>190</v>
      </c>
      <c r="N42" s="161" t="s">
        <v>599</v>
      </c>
      <c r="O42" s="32" t="s">
        <v>208</v>
      </c>
      <c r="P42" s="31" t="s">
        <v>110</v>
      </c>
      <c r="Q42" s="36">
        <v>1</v>
      </c>
      <c r="R42" s="36">
        <v>1</v>
      </c>
      <c r="S42" s="36">
        <f t="shared" si="0"/>
        <v>2</v>
      </c>
      <c r="T42" s="36">
        <v>3</v>
      </c>
      <c r="U42" s="36">
        <f>VLOOKUP($T42,Cotation!$G$6:$H$10,2,(FALSE))</f>
        <v>4</v>
      </c>
      <c r="V42" s="33" t="str">
        <f>HLOOKUP($S42,Cotation!$I$5:$M$10,'Risk Register'!U42,(TRUE))</f>
        <v>M</v>
      </c>
      <c r="W42" s="31" t="s">
        <v>209</v>
      </c>
      <c r="X42" s="31" t="s">
        <v>104</v>
      </c>
      <c r="Y42" s="165" t="s">
        <v>484</v>
      </c>
      <c r="Z42" s="67">
        <v>0.25</v>
      </c>
      <c r="AA42" s="35" t="s">
        <v>487</v>
      </c>
      <c r="AB42" s="67">
        <v>0.25</v>
      </c>
      <c r="AC42" s="165" t="s">
        <v>527</v>
      </c>
      <c r="AD42" s="67">
        <v>0.25</v>
      </c>
      <c r="AE42" s="34">
        <f t="shared" si="12"/>
        <v>0.25</v>
      </c>
      <c r="AF42" s="32">
        <f t="shared" si="13"/>
        <v>0.5</v>
      </c>
      <c r="AG42" s="33" t="str">
        <f>HLOOKUP($AF42,Cotation!$I$5:$M$10,'Risk Register'!U42,(TRUE))</f>
        <v>F</v>
      </c>
      <c r="AH42" s="31"/>
      <c r="AI42" s="9"/>
    </row>
    <row r="43" spans="1:35" ht="73.900000000000006" customHeight="1" x14ac:dyDescent="0.35">
      <c r="A43" s="8"/>
      <c r="B43" s="107" t="s">
        <v>188</v>
      </c>
      <c r="C43" s="108" t="s">
        <v>210</v>
      </c>
      <c r="D43" s="106"/>
      <c r="E43" s="103"/>
      <c r="F43" s="103"/>
      <c r="G43" s="103"/>
      <c r="H43" s="103" t="s">
        <v>12</v>
      </c>
      <c r="I43" s="103"/>
      <c r="J43" s="103" t="s">
        <v>12</v>
      </c>
      <c r="K43" s="103"/>
      <c r="L43" s="103"/>
      <c r="M43" s="31" t="s">
        <v>190</v>
      </c>
      <c r="N43" s="161" t="s">
        <v>599</v>
      </c>
      <c r="O43" s="32" t="s">
        <v>211</v>
      </c>
      <c r="P43" s="31" t="s">
        <v>110</v>
      </c>
      <c r="Q43" s="36">
        <v>1</v>
      </c>
      <c r="R43" s="36">
        <v>1</v>
      </c>
      <c r="S43" s="36">
        <f t="shared" si="0"/>
        <v>2</v>
      </c>
      <c r="T43" s="36">
        <v>3</v>
      </c>
      <c r="U43" s="36">
        <f>VLOOKUP($T43,Cotation!$G$6:$H$10,2,(FALSE))</f>
        <v>4</v>
      </c>
      <c r="V43" s="33" t="str">
        <f>HLOOKUP($S43,Cotation!$I$5:$M$10,'Risk Register'!U43,(TRUE))</f>
        <v>M</v>
      </c>
      <c r="W43" s="31" t="s">
        <v>212</v>
      </c>
      <c r="X43" s="31" t="s">
        <v>104</v>
      </c>
      <c r="Y43" s="165" t="s">
        <v>484</v>
      </c>
      <c r="Z43" s="67">
        <v>0.25</v>
      </c>
      <c r="AA43" s="35" t="s">
        <v>487</v>
      </c>
      <c r="AB43" s="67">
        <v>0.25</v>
      </c>
      <c r="AC43" s="165" t="s">
        <v>527</v>
      </c>
      <c r="AD43" s="67">
        <v>0.25</v>
      </c>
      <c r="AE43" s="34">
        <f t="shared" si="12"/>
        <v>0.25</v>
      </c>
      <c r="AF43" s="32">
        <f t="shared" si="13"/>
        <v>0.5</v>
      </c>
      <c r="AG43" s="33" t="str">
        <f>HLOOKUP($AF43,Cotation!$I$5:$M$10,'Risk Register'!U43,(TRUE))</f>
        <v>F</v>
      </c>
      <c r="AH43" s="31"/>
      <c r="AI43" s="9"/>
    </row>
    <row r="44" spans="1:35" ht="59.5" customHeight="1" x14ac:dyDescent="0.35">
      <c r="A44" s="8"/>
      <c r="B44" s="107" t="s">
        <v>136</v>
      </c>
      <c r="C44" s="108" t="s">
        <v>213</v>
      </c>
      <c r="D44" s="106"/>
      <c r="E44" s="103"/>
      <c r="F44" s="103"/>
      <c r="G44" s="103" t="s">
        <v>12</v>
      </c>
      <c r="H44" s="103" t="s">
        <v>12</v>
      </c>
      <c r="I44" s="103" t="s">
        <v>12</v>
      </c>
      <c r="J44" s="103" t="s">
        <v>12</v>
      </c>
      <c r="K44" s="103"/>
      <c r="L44" s="103"/>
      <c r="M44" s="31" t="s">
        <v>214</v>
      </c>
      <c r="N44" s="161" t="s">
        <v>571</v>
      </c>
      <c r="O44" s="32" t="s">
        <v>215</v>
      </c>
      <c r="P44" s="31" t="s">
        <v>110</v>
      </c>
      <c r="Q44" s="36">
        <v>3</v>
      </c>
      <c r="R44" s="36">
        <v>1</v>
      </c>
      <c r="S44" s="36">
        <f t="shared" si="0"/>
        <v>4</v>
      </c>
      <c r="T44" s="36">
        <v>4</v>
      </c>
      <c r="U44" s="36">
        <f>VLOOKUP($T44,Cotation!$G$6:$H$10,2,(FALSE))</f>
        <v>3</v>
      </c>
      <c r="V44" s="33" t="str">
        <f>HLOOKUP($S44,Cotation!$I$5:$M$10,'Risk Register'!U44,(TRUE))</f>
        <v>S</v>
      </c>
      <c r="W44" s="164" t="s">
        <v>491</v>
      </c>
      <c r="X44" s="170" t="s">
        <v>510</v>
      </c>
      <c r="Y44" s="165" t="s">
        <v>453</v>
      </c>
      <c r="Z44" s="67">
        <v>0.25</v>
      </c>
      <c r="AA44" s="165" t="s">
        <v>463</v>
      </c>
      <c r="AB44" s="67">
        <v>0</v>
      </c>
      <c r="AC44" s="165" t="s">
        <v>489</v>
      </c>
      <c r="AD44" s="67">
        <v>0.25</v>
      </c>
      <c r="AE44" s="34">
        <f t="shared" si="1"/>
        <v>0.5</v>
      </c>
      <c r="AF44" s="32">
        <f t="shared" si="2"/>
        <v>2</v>
      </c>
      <c r="AG44" s="33" t="str">
        <f>HLOOKUP($AF44,Cotation!$I$5:$M$10,'Risk Register'!U44,(TRUE))</f>
        <v>M</v>
      </c>
      <c r="AH44" s="31"/>
      <c r="AI44" s="9"/>
    </row>
    <row r="45" spans="1:35" ht="156.5" customHeight="1" x14ac:dyDescent="0.35">
      <c r="A45" s="8"/>
      <c r="B45" s="107" t="s">
        <v>136</v>
      </c>
      <c r="C45" s="108" t="s">
        <v>216</v>
      </c>
      <c r="D45" s="106"/>
      <c r="E45" s="103"/>
      <c r="F45" s="103"/>
      <c r="G45" s="103" t="s">
        <v>12</v>
      </c>
      <c r="H45" s="103" t="s">
        <v>12</v>
      </c>
      <c r="I45" s="103" t="s">
        <v>12</v>
      </c>
      <c r="J45" s="103" t="s">
        <v>12</v>
      </c>
      <c r="K45" s="103" t="s">
        <v>12</v>
      </c>
      <c r="L45" s="103"/>
      <c r="M45" s="111" t="s">
        <v>217</v>
      </c>
      <c r="N45" s="162" t="s">
        <v>571</v>
      </c>
      <c r="O45" s="112" t="s">
        <v>218</v>
      </c>
      <c r="P45" s="31" t="s">
        <v>110</v>
      </c>
      <c r="Q45" s="36">
        <v>1</v>
      </c>
      <c r="R45" s="36">
        <v>3</v>
      </c>
      <c r="S45" s="36">
        <f t="shared" si="0"/>
        <v>4</v>
      </c>
      <c r="T45" s="36">
        <v>4</v>
      </c>
      <c r="U45" s="36">
        <f>VLOOKUP($T45,Cotation!$G$6:$H$10,2,(FALSE))</f>
        <v>3</v>
      </c>
      <c r="V45" s="33" t="str">
        <f>HLOOKUP($S45,Cotation!$I$5:$M$10,'Risk Register'!U45,(TRUE))</f>
        <v>S</v>
      </c>
      <c r="W45" s="164" t="s">
        <v>492</v>
      </c>
      <c r="X45" s="170" t="s">
        <v>510</v>
      </c>
      <c r="Y45" s="165" t="s">
        <v>453</v>
      </c>
      <c r="Z45" s="67">
        <v>0.25</v>
      </c>
      <c r="AA45" s="35" t="s">
        <v>120</v>
      </c>
      <c r="AB45" s="67">
        <v>0.25</v>
      </c>
      <c r="AC45" s="165" t="s">
        <v>493</v>
      </c>
      <c r="AD45" s="67">
        <v>0.25</v>
      </c>
      <c r="AE45" s="34">
        <f t="shared" si="1"/>
        <v>0.25</v>
      </c>
      <c r="AF45" s="32">
        <f t="shared" si="2"/>
        <v>1</v>
      </c>
      <c r="AG45" s="33" t="str">
        <f>HLOOKUP($AF45,Cotation!$I$5:$M$10,'Risk Register'!U45,(TRUE))</f>
        <v>M</v>
      </c>
      <c r="AH45" s="31"/>
      <c r="AI45" s="9"/>
    </row>
    <row r="46" spans="1:35" ht="104.5" customHeight="1" x14ac:dyDescent="0.35">
      <c r="A46" s="8"/>
      <c r="B46" s="46" t="s">
        <v>568</v>
      </c>
      <c r="C46" s="108" t="s">
        <v>494</v>
      </c>
      <c r="D46" s="106"/>
      <c r="E46" s="103"/>
      <c r="F46" s="103"/>
      <c r="G46" s="103" t="s">
        <v>12</v>
      </c>
      <c r="H46" s="103" t="s">
        <v>12</v>
      </c>
      <c r="I46" s="103" t="s">
        <v>12</v>
      </c>
      <c r="J46" s="103" t="s">
        <v>12</v>
      </c>
      <c r="K46" s="103"/>
      <c r="L46" s="109"/>
      <c r="M46" s="111" t="s">
        <v>219</v>
      </c>
      <c r="N46" s="162" t="s">
        <v>574</v>
      </c>
      <c r="O46" s="112" t="s">
        <v>220</v>
      </c>
      <c r="P46" s="110" t="s">
        <v>110</v>
      </c>
      <c r="Q46" s="36">
        <v>1</v>
      </c>
      <c r="R46" s="36">
        <v>3</v>
      </c>
      <c r="S46" s="36">
        <f t="shared" si="0"/>
        <v>4</v>
      </c>
      <c r="T46" s="36">
        <v>5</v>
      </c>
      <c r="U46" s="36">
        <f>VLOOKUP($T46,Cotation!$G$6:$H$10,2,(FALSE))</f>
        <v>2</v>
      </c>
      <c r="V46" s="33" t="str">
        <f>HLOOKUP($S46,Cotation!$I$5:$M$10,'Risk Register'!U46,(TRUE))</f>
        <v>S</v>
      </c>
      <c r="W46" s="164" t="s">
        <v>501</v>
      </c>
      <c r="X46" s="170" t="s">
        <v>471</v>
      </c>
      <c r="Y46" s="35" t="s">
        <v>495</v>
      </c>
      <c r="Z46" s="67">
        <v>0.25</v>
      </c>
      <c r="AA46" s="165" t="s">
        <v>497</v>
      </c>
      <c r="AB46" s="67">
        <v>0</v>
      </c>
      <c r="AC46" s="165" t="s">
        <v>499</v>
      </c>
      <c r="AD46" s="67">
        <v>0.25</v>
      </c>
      <c r="AE46" s="34">
        <f t="shared" ref="AE46:AE47" si="14">100%-(Z46+AB46+AD46)</f>
        <v>0.5</v>
      </c>
      <c r="AF46" s="32">
        <f t="shared" ref="AF46:AF47" si="15">S46*AE46</f>
        <v>2</v>
      </c>
      <c r="AG46" s="33" t="str">
        <f>HLOOKUP($AF46,Cotation!$I$5:$M$10,'Risk Register'!U46,(TRUE))</f>
        <v>S</v>
      </c>
      <c r="AH46" s="31"/>
      <c r="AI46" s="9"/>
    </row>
    <row r="47" spans="1:35" ht="104.5" customHeight="1" x14ac:dyDescent="0.35">
      <c r="A47" s="8"/>
      <c r="B47" s="46" t="s">
        <v>568</v>
      </c>
      <c r="C47" s="108" t="s">
        <v>221</v>
      </c>
      <c r="D47" s="106"/>
      <c r="E47" s="103"/>
      <c r="F47" s="103"/>
      <c r="G47" s="103" t="s">
        <v>12</v>
      </c>
      <c r="H47" s="103" t="s">
        <v>12</v>
      </c>
      <c r="I47" s="103" t="s">
        <v>12</v>
      </c>
      <c r="J47" s="103" t="s">
        <v>12</v>
      </c>
      <c r="K47" s="103"/>
      <c r="L47" s="109"/>
      <c r="M47" s="111" t="s">
        <v>219</v>
      </c>
      <c r="N47" s="162" t="s">
        <v>574</v>
      </c>
      <c r="O47" s="112" t="s">
        <v>220</v>
      </c>
      <c r="P47" s="110" t="s">
        <v>110</v>
      </c>
      <c r="Q47" s="36">
        <v>1</v>
      </c>
      <c r="R47" s="36">
        <v>3</v>
      </c>
      <c r="S47" s="36">
        <f t="shared" si="0"/>
        <v>4</v>
      </c>
      <c r="T47" s="36">
        <v>3</v>
      </c>
      <c r="U47" s="36">
        <f>VLOOKUP($T47,Cotation!$G$6:$H$10,2,(FALSE))</f>
        <v>4</v>
      </c>
      <c r="V47" s="33" t="str">
        <f>HLOOKUP($S47,Cotation!$I$5:$M$10,'Risk Register'!U47,(TRUE))</f>
        <v>M</v>
      </c>
      <c r="W47" s="164" t="s">
        <v>501</v>
      </c>
      <c r="X47" s="170" t="s">
        <v>471</v>
      </c>
      <c r="Y47" s="35" t="s">
        <v>498</v>
      </c>
      <c r="Z47" s="67">
        <v>0.25</v>
      </c>
      <c r="AA47" s="165" t="s">
        <v>497</v>
      </c>
      <c r="AB47" s="67">
        <v>0.25</v>
      </c>
      <c r="AC47" s="165" t="s">
        <v>500</v>
      </c>
      <c r="AD47" s="67">
        <v>0.25</v>
      </c>
      <c r="AE47" s="34">
        <f t="shared" si="14"/>
        <v>0.25</v>
      </c>
      <c r="AF47" s="32">
        <f t="shared" si="15"/>
        <v>1</v>
      </c>
      <c r="AG47" s="33" t="str">
        <f>HLOOKUP($AF47,Cotation!$I$5:$M$10,'Risk Register'!U47,(TRUE))</f>
        <v>F</v>
      </c>
      <c r="AH47" s="31"/>
      <c r="AI47" s="9"/>
    </row>
    <row r="48" spans="1:35" ht="32.5" customHeight="1" x14ac:dyDescent="0.35">
      <c r="A48" s="8"/>
      <c r="B48" s="107" t="s">
        <v>222</v>
      </c>
      <c r="C48" s="108" t="s">
        <v>223</v>
      </c>
      <c r="D48" s="106"/>
      <c r="E48" s="103"/>
      <c r="F48" s="103"/>
      <c r="G48" s="103"/>
      <c r="H48" s="103" t="s">
        <v>12</v>
      </c>
      <c r="I48" s="103" t="s">
        <v>12</v>
      </c>
      <c r="J48" s="103" t="s">
        <v>12</v>
      </c>
      <c r="K48" s="103"/>
      <c r="L48" s="103"/>
      <c r="M48" s="46" t="s">
        <v>224</v>
      </c>
      <c r="N48" s="160" t="s">
        <v>605</v>
      </c>
      <c r="O48" s="47" t="s">
        <v>225</v>
      </c>
      <c r="P48" s="31" t="s">
        <v>110</v>
      </c>
      <c r="Q48" s="36">
        <v>4</v>
      </c>
      <c r="R48" s="36">
        <v>3</v>
      </c>
      <c r="S48" s="36">
        <f t="shared" ref="S48:S91" si="16">Q48+R48</f>
        <v>7</v>
      </c>
      <c r="T48" s="36">
        <v>2</v>
      </c>
      <c r="U48" s="36">
        <f>VLOOKUP($T48,Cotation!$G$6:$H$10,2,(FALSE))</f>
        <v>5</v>
      </c>
      <c r="V48" s="33" t="str">
        <f>HLOOKUP($S48,Cotation!$I$5:$M$10,'Risk Register'!U48,(TRUE))</f>
        <v>M</v>
      </c>
      <c r="W48" s="31" t="s">
        <v>104</v>
      </c>
      <c r="X48" s="31" t="s">
        <v>104</v>
      </c>
      <c r="Y48" s="35" t="s">
        <v>502</v>
      </c>
      <c r="Z48" s="67">
        <v>0.25</v>
      </c>
      <c r="AA48" s="35" t="s">
        <v>104</v>
      </c>
      <c r="AB48" s="67">
        <v>0</v>
      </c>
      <c r="AC48" s="165" t="s">
        <v>503</v>
      </c>
      <c r="AD48" s="67">
        <v>0.25</v>
      </c>
      <c r="AE48" s="34">
        <f t="shared" ref="AE48:AE78" si="17">100%-(Z48+AB48+AD48)</f>
        <v>0.5</v>
      </c>
      <c r="AF48" s="32">
        <f t="shared" ref="AF48:AF78" si="18">S48*AE48</f>
        <v>3.5</v>
      </c>
      <c r="AG48" s="33" t="str">
        <f>HLOOKUP($AF48,Cotation!$I$5:$M$10,'Risk Register'!U48,(TRUE))</f>
        <v>F</v>
      </c>
      <c r="AH48" s="31"/>
      <c r="AI48" s="9"/>
    </row>
    <row r="49" spans="1:35" ht="67.150000000000006" customHeight="1" x14ac:dyDescent="0.35">
      <c r="A49" s="8"/>
      <c r="B49" s="107" t="s">
        <v>222</v>
      </c>
      <c r="C49" s="108" t="s">
        <v>226</v>
      </c>
      <c r="D49" s="106"/>
      <c r="E49" s="103"/>
      <c r="F49" s="103"/>
      <c r="G49" s="103"/>
      <c r="H49" s="103" t="s">
        <v>12</v>
      </c>
      <c r="I49" s="103" t="s">
        <v>12</v>
      </c>
      <c r="J49" s="103" t="s">
        <v>12</v>
      </c>
      <c r="K49" s="103"/>
      <c r="L49" s="103"/>
      <c r="M49" s="31" t="s">
        <v>227</v>
      </c>
      <c r="N49" s="161" t="s">
        <v>605</v>
      </c>
      <c r="O49" s="32" t="s">
        <v>228</v>
      </c>
      <c r="P49" s="31" t="s">
        <v>110</v>
      </c>
      <c r="Q49" s="36">
        <v>3</v>
      </c>
      <c r="R49" s="36">
        <v>3</v>
      </c>
      <c r="S49" s="36">
        <f t="shared" si="16"/>
        <v>6</v>
      </c>
      <c r="T49" s="36">
        <v>3</v>
      </c>
      <c r="U49" s="36">
        <f>VLOOKUP($T49,Cotation!$G$6:$H$10,2,(FALSE))</f>
        <v>4</v>
      </c>
      <c r="V49" s="33" t="str">
        <f>HLOOKUP($S49,Cotation!$I$5:$M$10,'Risk Register'!U49,(TRUE))</f>
        <v>S</v>
      </c>
      <c r="W49" s="31" t="s">
        <v>504</v>
      </c>
      <c r="X49" s="31" t="s">
        <v>104</v>
      </c>
      <c r="Y49" s="35" t="s">
        <v>229</v>
      </c>
      <c r="Z49" s="67">
        <v>0.1</v>
      </c>
      <c r="AA49" s="35" t="s">
        <v>104</v>
      </c>
      <c r="AB49" s="67">
        <v>0</v>
      </c>
      <c r="AC49" s="165" t="s">
        <v>505</v>
      </c>
      <c r="AD49" s="67">
        <v>0.25</v>
      </c>
      <c r="AE49" s="34">
        <f t="shared" si="17"/>
        <v>0.65</v>
      </c>
      <c r="AF49" s="32">
        <f t="shared" si="18"/>
        <v>3.9000000000000004</v>
      </c>
      <c r="AG49" s="33" t="str">
        <f>HLOOKUP($AF49,Cotation!$I$5:$M$10,'Risk Register'!U49,(TRUE))</f>
        <v>M</v>
      </c>
      <c r="AH49" s="31"/>
      <c r="AI49" s="9"/>
    </row>
    <row r="50" spans="1:35" ht="40.15" customHeight="1" x14ac:dyDescent="0.35">
      <c r="A50" s="8"/>
      <c r="B50" s="107" t="s">
        <v>230</v>
      </c>
      <c r="C50" s="108" t="s">
        <v>231</v>
      </c>
      <c r="D50" s="106"/>
      <c r="E50" s="103"/>
      <c r="F50" s="103"/>
      <c r="G50" s="103"/>
      <c r="H50" s="103" t="s">
        <v>12</v>
      </c>
      <c r="I50" s="103" t="s">
        <v>12</v>
      </c>
      <c r="J50" s="103" t="s">
        <v>12</v>
      </c>
      <c r="K50" s="103"/>
      <c r="L50" s="103"/>
      <c r="M50" s="31" t="s">
        <v>232</v>
      </c>
      <c r="N50" s="161" t="s">
        <v>604</v>
      </c>
      <c r="O50" s="32" t="s">
        <v>233</v>
      </c>
      <c r="P50" s="31" t="s">
        <v>99</v>
      </c>
      <c r="Q50" s="36">
        <v>1</v>
      </c>
      <c r="R50" s="36">
        <v>4</v>
      </c>
      <c r="S50" s="36">
        <f t="shared" si="16"/>
        <v>5</v>
      </c>
      <c r="T50" s="36">
        <v>5</v>
      </c>
      <c r="U50" s="36">
        <f>VLOOKUP($T50,Cotation!$G$6:$H$10,2,(FALSE))</f>
        <v>2</v>
      </c>
      <c r="V50" s="33" t="str">
        <f>HLOOKUP($S50,Cotation!$I$5:$M$10,'Risk Register'!U50,(TRUE))</f>
        <v>S</v>
      </c>
      <c r="W50" s="31" t="s">
        <v>234</v>
      </c>
      <c r="X50" s="170" t="s">
        <v>509</v>
      </c>
      <c r="Y50" s="165" t="s">
        <v>508</v>
      </c>
      <c r="Z50" s="67">
        <v>0.25</v>
      </c>
      <c r="AA50" s="165" t="s">
        <v>507</v>
      </c>
      <c r="AB50" s="67">
        <v>0</v>
      </c>
      <c r="AC50" s="165" t="s">
        <v>506</v>
      </c>
      <c r="AD50" s="67">
        <v>0.25</v>
      </c>
      <c r="AE50" s="34">
        <f t="shared" si="17"/>
        <v>0.5</v>
      </c>
      <c r="AF50" s="32">
        <f t="shared" si="18"/>
        <v>2.5</v>
      </c>
      <c r="AG50" s="33" t="str">
        <f>HLOOKUP($AF50,Cotation!$I$5:$M$10,'Risk Register'!U50,(TRUE))</f>
        <v>S</v>
      </c>
      <c r="AH50" s="31"/>
      <c r="AI50" s="9"/>
    </row>
    <row r="51" spans="1:35" ht="49.9" customHeight="1" x14ac:dyDescent="0.35">
      <c r="A51" s="8"/>
      <c r="B51" s="107" t="s">
        <v>235</v>
      </c>
      <c r="C51" s="108" t="s">
        <v>236</v>
      </c>
      <c r="D51" s="106" t="s">
        <v>12</v>
      </c>
      <c r="E51" s="103" t="s">
        <v>12</v>
      </c>
      <c r="F51" s="103" t="s">
        <v>12</v>
      </c>
      <c r="G51" s="103" t="s">
        <v>12</v>
      </c>
      <c r="H51" s="103" t="s">
        <v>12</v>
      </c>
      <c r="I51" s="103" t="s">
        <v>12</v>
      </c>
      <c r="J51" s="103" t="s">
        <v>12</v>
      </c>
      <c r="K51" s="103" t="s">
        <v>12</v>
      </c>
      <c r="L51" s="103" t="s">
        <v>12</v>
      </c>
      <c r="M51" s="31" t="s">
        <v>237</v>
      </c>
      <c r="N51" s="161" t="s">
        <v>606</v>
      </c>
      <c r="O51" s="32" t="s">
        <v>238</v>
      </c>
      <c r="P51" s="31" t="s">
        <v>110</v>
      </c>
      <c r="Q51" s="36">
        <v>1</v>
      </c>
      <c r="R51" s="36">
        <v>3</v>
      </c>
      <c r="S51" s="36">
        <f t="shared" si="16"/>
        <v>4</v>
      </c>
      <c r="T51" s="36">
        <v>3</v>
      </c>
      <c r="U51" s="36">
        <f>VLOOKUP($T51,Cotation!$G$6:$H$10,2,(FALSE))</f>
        <v>4</v>
      </c>
      <c r="V51" s="33" t="str">
        <f>HLOOKUP($S51,Cotation!$I$5:$M$10,'Risk Register'!U51,(TRUE))</f>
        <v>M</v>
      </c>
      <c r="W51" s="31" t="s">
        <v>104</v>
      </c>
      <c r="X51" s="31" t="s">
        <v>104</v>
      </c>
      <c r="Y51" s="35" t="s">
        <v>511</v>
      </c>
      <c r="Z51" s="67">
        <v>0.25</v>
      </c>
      <c r="AA51" s="35" t="s">
        <v>104</v>
      </c>
      <c r="AB51" s="67">
        <v>0</v>
      </c>
      <c r="AC51" s="165" t="s">
        <v>512</v>
      </c>
      <c r="AD51" s="67">
        <v>0.25</v>
      </c>
      <c r="AE51" s="34">
        <f t="shared" si="17"/>
        <v>0.5</v>
      </c>
      <c r="AF51" s="32">
        <f t="shared" si="18"/>
        <v>2</v>
      </c>
      <c r="AG51" s="33" t="str">
        <f>HLOOKUP($AF51,Cotation!$I$5:$M$10,'Risk Register'!U51,(TRUE))</f>
        <v>M</v>
      </c>
      <c r="AH51" s="31"/>
      <c r="AI51" s="9"/>
    </row>
    <row r="52" spans="1:35" ht="28.9" customHeight="1" x14ac:dyDescent="0.35">
      <c r="A52" s="8"/>
      <c r="B52" s="107" t="s">
        <v>235</v>
      </c>
      <c r="C52" s="108" t="s">
        <v>239</v>
      </c>
      <c r="D52" s="106" t="s">
        <v>12</v>
      </c>
      <c r="E52" s="103" t="s">
        <v>12</v>
      </c>
      <c r="F52" s="103" t="s">
        <v>12</v>
      </c>
      <c r="G52" s="103" t="s">
        <v>12</v>
      </c>
      <c r="H52" s="103" t="s">
        <v>12</v>
      </c>
      <c r="I52" s="103" t="s">
        <v>12</v>
      </c>
      <c r="J52" s="103" t="s">
        <v>12</v>
      </c>
      <c r="K52" s="103" t="s">
        <v>12</v>
      </c>
      <c r="L52" s="103" t="s">
        <v>12</v>
      </c>
      <c r="M52" s="31" t="s">
        <v>240</v>
      </c>
      <c r="N52" s="161" t="s">
        <v>606</v>
      </c>
      <c r="O52" s="32" t="s">
        <v>238</v>
      </c>
      <c r="P52" s="31" t="s">
        <v>110</v>
      </c>
      <c r="Q52" s="36">
        <v>1</v>
      </c>
      <c r="R52" s="36">
        <v>3</v>
      </c>
      <c r="S52" s="36">
        <f t="shared" si="16"/>
        <v>4</v>
      </c>
      <c r="T52" s="36">
        <v>3</v>
      </c>
      <c r="U52" s="36">
        <f>VLOOKUP($T52,Cotation!$G$6:$H$10,2,(FALSE))</f>
        <v>4</v>
      </c>
      <c r="V52" s="33" t="str">
        <f>HLOOKUP($S52,Cotation!$I$5:$M$10,'Risk Register'!U52,(TRUE))</f>
        <v>M</v>
      </c>
      <c r="W52" s="31" t="s">
        <v>104</v>
      </c>
      <c r="X52" s="31" t="s">
        <v>104</v>
      </c>
      <c r="Y52" s="35" t="s">
        <v>241</v>
      </c>
      <c r="Z52" s="67">
        <v>0.25</v>
      </c>
      <c r="AA52" s="35" t="s">
        <v>104</v>
      </c>
      <c r="AB52" s="67">
        <v>0</v>
      </c>
      <c r="AC52" s="165" t="s">
        <v>513</v>
      </c>
      <c r="AD52" s="67">
        <v>0.25</v>
      </c>
      <c r="AE52" s="34">
        <f t="shared" si="17"/>
        <v>0.5</v>
      </c>
      <c r="AF52" s="32">
        <f t="shared" si="18"/>
        <v>2</v>
      </c>
      <c r="AG52" s="33" t="str">
        <f>HLOOKUP($AF52,Cotation!$I$5:$M$10,'Risk Register'!U52,(TRUE))</f>
        <v>M</v>
      </c>
      <c r="AH52" s="31"/>
      <c r="AI52" s="9"/>
    </row>
    <row r="53" spans="1:35" ht="42" customHeight="1" x14ac:dyDescent="0.35">
      <c r="A53" s="8"/>
      <c r="B53" s="107" t="s">
        <v>242</v>
      </c>
      <c r="C53" s="108" t="s">
        <v>243</v>
      </c>
      <c r="D53" s="106" t="s">
        <v>12</v>
      </c>
      <c r="E53" s="103" t="s">
        <v>12</v>
      </c>
      <c r="F53" s="103" t="s">
        <v>12</v>
      </c>
      <c r="G53" s="103" t="s">
        <v>12</v>
      </c>
      <c r="H53" s="103" t="s">
        <v>12</v>
      </c>
      <c r="I53" s="103" t="s">
        <v>12</v>
      </c>
      <c r="J53" s="103" t="s">
        <v>12</v>
      </c>
      <c r="K53" s="103" t="s">
        <v>12</v>
      </c>
      <c r="L53" s="103" t="s">
        <v>12</v>
      </c>
      <c r="M53" s="31" t="s">
        <v>244</v>
      </c>
      <c r="N53" s="161" t="s">
        <v>607</v>
      </c>
      <c r="O53" s="32" t="s">
        <v>245</v>
      </c>
      <c r="P53" s="31" t="s">
        <v>110</v>
      </c>
      <c r="Q53" s="36">
        <v>2</v>
      </c>
      <c r="R53" s="36">
        <v>2</v>
      </c>
      <c r="S53" s="36">
        <f t="shared" si="16"/>
        <v>4</v>
      </c>
      <c r="T53" s="36">
        <v>3</v>
      </c>
      <c r="U53" s="36">
        <f>VLOOKUP($T53,Cotation!$G$6:$H$10,2,(FALSE))</f>
        <v>4</v>
      </c>
      <c r="V53" s="33" t="str">
        <f>HLOOKUP($S53,Cotation!$I$5:$M$10,'Risk Register'!U53,(TRUE))</f>
        <v>M</v>
      </c>
      <c r="W53" s="164" t="s">
        <v>514</v>
      </c>
      <c r="X53" s="31" t="s">
        <v>104</v>
      </c>
      <c r="Y53" s="35" t="s">
        <v>246</v>
      </c>
      <c r="Z53" s="67">
        <v>0.25</v>
      </c>
      <c r="AA53" s="35" t="s">
        <v>104</v>
      </c>
      <c r="AB53" s="67">
        <v>0</v>
      </c>
      <c r="AC53" s="165" t="s">
        <v>515</v>
      </c>
      <c r="AD53" s="67">
        <v>0.25</v>
      </c>
      <c r="AE53" s="34">
        <f t="shared" si="17"/>
        <v>0.5</v>
      </c>
      <c r="AF53" s="32">
        <f t="shared" si="18"/>
        <v>2</v>
      </c>
      <c r="AG53" s="33" t="str">
        <f>HLOOKUP($AF53,Cotation!$I$5:$M$10,'Risk Register'!U53,(TRUE))</f>
        <v>M</v>
      </c>
      <c r="AH53" s="31"/>
      <c r="AI53" s="9"/>
    </row>
    <row r="54" spans="1:35" ht="43.9" customHeight="1" x14ac:dyDescent="0.35">
      <c r="A54" s="8"/>
      <c r="B54" s="107" t="s">
        <v>247</v>
      </c>
      <c r="C54" s="108" t="s">
        <v>248</v>
      </c>
      <c r="D54" s="106"/>
      <c r="E54" s="103"/>
      <c r="F54" s="103"/>
      <c r="G54" s="103" t="s">
        <v>12</v>
      </c>
      <c r="H54" s="103" t="s">
        <v>12</v>
      </c>
      <c r="I54" s="103" t="s">
        <v>12</v>
      </c>
      <c r="J54" s="103" t="s">
        <v>12</v>
      </c>
      <c r="K54" s="103"/>
      <c r="L54" s="103"/>
      <c r="M54" s="31" t="s">
        <v>249</v>
      </c>
      <c r="N54" s="161" t="s">
        <v>605</v>
      </c>
      <c r="O54" s="32" t="s">
        <v>250</v>
      </c>
      <c r="P54" s="31" t="s">
        <v>110</v>
      </c>
      <c r="Q54" s="36">
        <v>2</v>
      </c>
      <c r="R54" s="36">
        <v>3</v>
      </c>
      <c r="S54" s="36">
        <f t="shared" si="16"/>
        <v>5</v>
      </c>
      <c r="T54" s="36">
        <v>2</v>
      </c>
      <c r="U54" s="36">
        <f>VLOOKUP($T54,Cotation!$G$6:$H$10,2,(FALSE))</f>
        <v>5</v>
      </c>
      <c r="V54" s="33" t="str">
        <f>HLOOKUP($S54,Cotation!$I$5:$M$10,'Risk Register'!U54,(TRUE))</f>
        <v>M</v>
      </c>
      <c r="W54" s="31" t="s">
        <v>251</v>
      </c>
      <c r="X54" s="31" t="s">
        <v>104</v>
      </c>
      <c r="Y54" s="35" t="s">
        <v>252</v>
      </c>
      <c r="Z54" s="67">
        <v>0.25</v>
      </c>
      <c r="AA54" s="35" t="s">
        <v>104</v>
      </c>
      <c r="AB54" s="67">
        <v>0</v>
      </c>
      <c r="AC54" s="165" t="s">
        <v>516</v>
      </c>
      <c r="AD54" s="67">
        <v>0.25</v>
      </c>
      <c r="AE54" s="34">
        <f t="shared" ref="AE54" si="19">100%-(Z54+AB54+AD54)</f>
        <v>0.5</v>
      </c>
      <c r="AF54" s="32">
        <f t="shared" ref="AF54" si="20">S54*AE54</f>
        <v>2.5</v>
      </c>
      <c r="AG54" s="33" t="str">
        <f>HLOOKUP($AF54,Cotation!$I$5:$M$10,'Risk Register'!U54,(TRUE))</f>
        <v>F</v>
      </c>
      <c r="AH54" s="31"/>
      <c r="AI54" s="9"/>
    </row>
    <row r="55" spans="1:35" ht="97.15" customHeight="1" x14ac:dyDescent="0.35">
      <c r="A55" s="8"/>
      <c r="B55" s="107" t="s">
        <v>253</v>
      </c>
      <c r="C55" s="108" t="s">
        <v>254</v>
      </c>
      <c r="D55" s="106"/>
      <c r="E55" s="103"/>
      <c r="F55" s="103" t="s">
        <v>12</v>
      </c>
      <c r="G55" s="103" t="s">
        <v>12</v>
      </c>
      <c r="H55" s="103" t="s">
        <v>12</v>
      </c>
      <c r="I55" s="103" t="s">
        <v>12</v>
      </c>
      <c r="J55" s="103" t="s">
        <v>12</v>
      </c>
      <c r="K55" s="103"/>
      <c r="L55" s="103"/>
      <c r="M55" s="31" t="s">
        <v>255</v>
      </c>
      <c r="N55" s="161" t="s">
        <v>599</v>
      </c>
      <c r="O55" s="32" t="s">
        <v>256</v>
      </c>
      <c r="P55" s="31" t="s">
        <v>99</v>
      </c>
      <c r="Q55" s="36">
        <v>1</v>
      </c>
      <c r="R55" s="36">
        <v>1</v>
      </c>
      <c r="S55" s="36">
        <f t="shared" si="16"/>
        <v>2</v>
      </c>
      <c r="T55" s="36">
        <v>4</v>
      </c>
      <c r="U55" s="36">
        <f>VLOOKUP($T55,Cotation!$G$6:$H$10,2,(FALSE))</f>
        <v>3</v>
      </c>
      <c r="V55" s="33" t="str">
        <f>HLOOKUP($S55,Cotation!$I$5:$M$10,'Risk Register'!U55,(TRUE))</f>
        <v>M</v>
      </c>
      <c r="W55" s="31" t="s">
        <v>257</v>
      </c>
      <c r="X55" s="170" t="s">
        <v>258</v>
      </c>
      <c r="Y55" s="165" t="s">
        <v>517</v>
      </c>
      <c r="Z55" s="67">
        <v>0.25</v>
      </c>
      <c r="AA55" s="35" t="s">
        <v>259</v>
      </c>
      <c r="AB55" s="67">
        <v>0.1</v>
      </c>
      <c r="AC55" s="35" t="s">
        <v>518</v>
      </c>
      <c r="AD55" s="67">
        <v>0.25</v>
      </c>
      <c r="AE55" s="34">
        <f t="shared" si="17"/>
        <v>0.4</v>
      </c>
      <c r="AF55" s="32">
        <f t="shared" si="18"/>
        <v>0.8</v>
      </c>
      <c r="AG55" s="33" t="str">
        <f>HLOOKUP($AF55,Cotation!$I$5:$M$10,'Risk Register'!U55,(TRUE))</f>
        <v>M</v>
      </c>
      <c r="AH55" s="31"/>
      <c r="AI55" s="9"/>
    </row>
    <row r="56" spans="1:35" ht="197.5" customHeight="1" x14ac:dyDescent="0.35">
      <c r="A56" s="8"/>
      <c r="B56" s="107" t="s">
        <v>260</v>
      </c>
      <c r="C56" s="108" t="s">
        <v>261</v>
      </c>
      <c r="D56" s="106"/>
      <c r="E56" s="103"/>
      <c r="F56" s="103"/>
      <c r="G56" s="103" t="s">
        <v>12</v>
      </c>
      <c r="H56" s="103" t="s">
        <v>12</v>
      </c>
      <c r="I56" s="103" t="s">
        <v>12</v>
      </c>
      <c r="J56" s="103" t="s">
        <v>12</v>
      </c>
      <c r="K56" s="103"/>
      <c r="L56" s="103"/>
      <c r="M56" s="31" t="s">
        <v>262</v>
      </c>
      <c r="N56" s="161" t="s">
        <v>599</v>
      </c>
      <c r="O56" s="32" t="s">
        <v>263</v>
      </c>
      <c r="P56" s="31" t="s">
        <v>264</v>
      </c>
      <c r="Q56" s="36">
        <v>2</v>
      </c>
      <c r="R56" s="36">
        <v>1</v>
      </c>
      <c r="S56" s="36">
        <f t="shared" si="16"/>
        <v>3</v>
      </c>
      <c r="T56" s="36">
        <v>3</v>
      </c>
      <c r="U56" s="36">
        <f>VLOOKUP($T56,Cotation!$G$6:$H$10,2,(FALSE))</f>
        <v>4</v>
      </c>
      <c r="V56" s="33" t="str">
        <f>HLOOKUP($S56,Cotation!$I$5:$M$10,'Risk Register'!U56,(TRUE))</f>
        <v>M</v>
      </c>
      <c r="W56" s="31" t="s">
        <v>265</v>
      </c>
      <c r="X56" s="31" t="s">
        <v>104</v>
      </c>
      <c r="Y56" s="165" t="s">
        <v>519</v>
      </c>
      <c r="Z56" s="67">
        <v>0.25</v>
      </c>
      <c r="AA56" s="35" t="s">
        <v>104</v>
      </c>
      <c r="AB56" s="67">
        <v>0</v>
      </c>
      <c r="AC56" s="165" t="s">
        <v>520</v>
      </c>
      <c r="AD56" s="67">
        <v>0.25</v>
      </c>
      <c r="AE56" s="34">
        <f t="shared" si="17"/>
        <v>0.5</v>
      </c>
      <c r="AF56" s="32">
        <f t="shared" si="18"/>
        <v>1.5</v>
      </c>
      <c r="AG56" s="33" t="str">
        <f>HLOOKUP($AF56,Cotation!$I$5:$M$10,'Risk Register'!U56,(TRUE))</f>
        <v>F</v>
      </c>
      <c r="AH56" s="31"/>
      <c r="AI56" s="9"/>
    </row>
    <row r="57" spans="1:35" ht="133" customHeight="1" x14ac:dyDescent="0.35">
      <c r="A57" s="8"/>
      <c r="B57" s="107" t="s">
        <v>174</v>
      </c>
      <c r="C57" s="108" t="s">
        <v>266</v>
      </c>
      <c r="D57" s="106"/>
      <c r="E57" s="103"/>
      <c r="F57" s="103"/>
      <c r="G57" s="103"/>
      <c r="H57" s="103" t="s">
        <v>12</v>
      </c>
      <c r="I57" s="103"/>
      <c r="J57" s="103" t="s">
        <v>12</v>
      </c>
      <c r="K57" s="103"/>
      <c r="L57" s="103"/>
      <c r="M57" s="31" t="s">
        <v>217</v>
      </c>
      <c r="N57" s="161" t="s">
        <v>571</v>
      </c>
      <c r="O57" s="32" t="s">
        <v>267</v>
      </c>
      <c r="P57" s="31" t="s">
        <v>110</v>
      </c>
      <c r="Q57" s="36">
        <v>3</v>
      </c>
      <c r="R57" s="36">
        <v>2</v>
      </c>
      <c r="S57" s="36">
        <f t="shared" si="16"/>
        <v>5</v>
      </c>
      <c r="T57" s="36">
        <v>3</v>
      </c>
      <c r="U57" s="36">
        <f>VLOOKUP($T57,Cotation!$G$6:$H$10,2,(FALSE))</f>
        <v>4</v>
      </c>
      <c r="V57" s="33" t="str">
        <f>HLOOKUP($S57,Cotation!$I$5:$M$10,'Risk Register'!U57,(TRUE))</f>
        <v>M</v>
      </c>
      <c r="W57" s="31" t="s">
        <v>522</v>
      </c>
      <c r="X57" s="170" t="s">
        <v>510</v>
      </c>
      <c r="Y57" s="35" t="s">
        <v>521</v>
      </c>
      <c r="Z57" s="67">
        <v>0.25</v>
      </c>
      <c r="AA57" s="165" t="s">
        <v>524</v>
      </c>
      <c r="AB57" s="67">
        <v>0</v>
      </c>
      <c r="AC57" s="165" t="s">
        <v>489</v>
      </c>
      <c r="AD57" s="67">
        <v>0.25</v>
      </c>
      <c r="AE57" s="34">
        <f t="shared" si="17"/>
        <v>0.5</v>
      </c>
      <c r="AF57" s="32">
        <f t="shared" si="18"/>
        <v>2.5</v>
      </c>
      <c r="AG57" s="33" t="str">
        <f>HLOOKUP($AF57,Cotation!$I$5:$M$10,'Risk Register'!U57,(TRUE))</f>
        <v>M</v>
      </c>
      <c r="AH57" s="31"/>
      <c r="AI57" s="9"/>
    </row>
    <row r="58" spans="1:35" ht="118.15" customHeight="1" x14ac:dyDescent="0.35">
      <c r="A58" s="8"/>
      <c r="B58" s="107" t="s">
        <v>160</v>
      </c>
      <c r="C58" s="108" t="s">
        <v>268</v>
      </c>
      <c r="D58" s="106"/>
      <c r="E58" s="103"/>
      <c r="F58" s="103"/>
      <c r="G58" s="103" t="s">
        <v>12</v>
      </c>
      <c r="H58" s="103" t="s">
        <v>12</v>
      </c>
      <c r="I58" s="103" t="s">
        <v>12</v>
      </c>
      <c r="J58" s="103" t="s">
        <v>12</v>
      </c>
      <c r="K58" s="103"/>
      <c r="L58" s="103"/>
      <c r="M58" s="31" t="s">
        <v>217</v>
      </c>
      <c r="N58" s="161" t="s">
        <v>571</v>
      </c>
      <c r="O58" s="32" t="s">
        <v>267</v>
      </c>
      <c r="P58" s="31" t="s">
        <v>110</v>
      </c>
      <c r="Q58" s="36">
        <v>2</v>
      </c>
      <c r="R58" s="36">
        <v>2</v>
      </c>
      <c r="S58" s="36">
        <f t="shared" si="16"/>
        <v>4</v>
      </c>
      <c r="T58" s="36">
        <v>4</v>
      </c>
      <c r="U58" s="36">
        <f>VLOOKUP($T58,Cotation!$G$6:$H$10,2,(FALSE))</f>
        <v>3</v>
      </c>
      <c r="V58" s="33" t="str">
        <f>HLOOKUP($S58,Cotation!$I$5:$M$10,'Risk Register'!U58,(TRUE))</f>
        <v>S</v>
      </c>
      <c r="W58" s="31" t="s">
        <v>522</v>
      </c>
      <c r="X58" s="170" t="s">
        <v>510</v>
      </c>
      <c r="Y58" s="35" t="s">
        <v>523</v>
      </c>
      <c r="Z58" s="67">
        <v>0.1</v>
      </c>
      <c r="AA58" s="165" t="s">
        <v>524</v>
      </c>
      <c r="AB58" s="67">
        <v>0</v>
      </c>
      <c r="AC58" s="165" t="s">
        <v>489</v>
      </c>
      <c r="AD58" s="67">
        <v>0</v>
      </c>
      <c r="AE58" s="34">
        <f t="shared" si="17"/>
        <v>0.9</v>
      </c>
      <c r="AF58" s="32">
        <f t="shared" si="18"/>
        <v>3.6</v>
      </c>
      <c r="AG58" s="33" t="str">
        <f>HLOOKUP($AF58,Cotation!$I$5:$M$10,'Risk Register'!U58,(TRUE))</f>
        <v>M</v>
      </c>
      <c r="AH58" s="31"/>
      <c r="AI58" s="9"/>
    </row>
    <row r="59" spans="1:35" ht="132.5" customHeight="1" x14ac:dyDescent="0.35">
      <c r="A59" s="8"/>
      <c r="B59" s="107" t="s">
        <v>188</v>
      </c>
      <c r="C59" s="108" t="s">
        <v>207</v>
      </c>
      <c r="D59" s="106"/>
      <c r="E59" s="103"/>
      <c r="F59" s="103"/>
      <c r="G59" s="103"/>
      <c r="H59" s="103" t="s">
        <v>12</v>
      </c>
      <c r="I59" s="103"/>
      <c r="J59" s="103"/>
      <c r="K59" s="103"/>
      <c r="L59" s="103"/>
      <c r="M59" s="31" t="s">
        <v>190</v>
      </c>
      <c r="N59" s="161" t="s">
        <v>599</v>
      </c>
      <c r="O59" s="32" t="s">
        <v>208</v>
      </c>
      <c r="P59" s="31" t="s">
        <v>110</v>
      </c>
      <c r="Q59" s="36">
        <v>1</v>
      </c>
      <c r="R59" s="36">
        <v>2</v>
      </c>
      <c r="S59" s="36">
        <f t="shared" si="16"/>
        <v>3</v>
      </c>
      <c r="T59" s="36">
        <v>3</v>
      </c>
      <c r="U59" s="36">
        <f>VLOOKUP($T59,Cotation!$G$6:$H$10,2,(FALSE))</f>
        <v>4</v>
      </c>
      <c r="V59" s="33" t="str">
        <f>HLOOKUP($S59,Cotation!$I$5:$M$10,'Risk Register'!U59,(TRUE))</f>
        <v>M</v>
      </c>
      <c r="W59" s="31" t="s">
        <v>209</v>
      </c>
      <c r="X59" s="31" t="s">
        <v>104</v>
      </c>
      <c r="Y59" s="165" t="s">
        <v>484</v>
      </c>
      <c r="Z59" s="67">
        <v>0.25</v>
      </c>
      <c r="AA59" s="35" t="s">
        <v>487</v>
      </c>
      <c r="AB59" s="67">
        <v>0.1</v>
      </c>
      <c r="AC59" s="165" t="s">
        <v>525</v>
      </c>
      <c r="AD59" s="67">
        <v>0.25</v>
      </c>
      <c r="AE59" s="34">
        <f t="shared" si="17"/>
        <v>0.4</v>
      </c>
      <c r="AF59" s="32">
        <f t="shared" si="18"/>
        <v>1.2000000000000002</v>
      </c>
      <c r="AG59" s="33" t="str">
        <f>HLOOKUP($AF59,Cotation!$I$5:$M$10,'Risk Register'!U59,(TRUE))</f>
        <v>F</v>
      </c>
      <c r="AH59" s="31"/>
      <c r="AI59" s="9"/>
    </row>
    <row r="60" spans="1:35" ht="52.15" customHeight="1" x14ac:dyDescent="0.35">
      <c r="A60" s="8"/>
      <c r="B60" s="107" t="s">
        <v>121</v>
      </c>
      <c r="C60" s="108" t="s">
        <v>269</v>
      </c>
      <c r="D60" s="106"/>
      <c r="E60" s="103"/>
      <c r="F60" s="103"/>
      <c r="G60" s="103"/>
      <c r="H60" s="103" t="s">
        <v>12</v>
      </c>
      <c r="I60" s="103"/>
      <c r="J60" s="103" t="s">
        <v>12</v>
      </c>
      <c r="K60" s="103"/>
      <c r="L60" s="103"/>
      <c r="M60" s="31" t="s">
        <v>270</v>
      </c>
      <c r="N60" s="161" t="s">
        <v>573</v>
      </c>
      <c r="O60" s="32" t="s">
        <v>271</v>
      </c>
      <c r="P60" s="31" t="s">
        <v>110</v>
      </c>
      <c r="Q60" s="36">
        <v>5</v>
      </c>
      <c r="R60" s="36">
        <v>2</v>
      </c>
      <c r="S60" s="36">
        <f t="shared" si="16"/>
        <v>7</v>
      </c>
      <c r="T60" s="36">
        <v>2</v>
      </c>
      <c r="U60" s="36">
        <f>VLOOKUP($T60,Cotation!$G$6:$H$10,2,(FALSE))</f>
        <v>5</v>
      </c>
      <c r="V60" s="33" t="str">
        <f>HLOOKUP($S60,Cotation!$I$5:$M$10,'Risk Register'!U60,(TRUE))</f>
        <v>M</v>
      </c>
      <c r="W60" s="31" t="s">
        <v>272</v>
      </c>
      <c r="X60" s="31" t="s">
        <v>104</v>
      </c>
      <c r="Y60" s="165" t="s">
        <v>528</v>
      </c>
      <c r="Z60" s="67">
        <v>0.25</v>
      </c>
      <c r="AA60" s="35" t="s">
        <v>529</v>
      </c>
      <c r="AB60" s="67">
        <v>0.25</v>
      </c>
      <c r="AC60" s="35" t="s">
        <v>273</v>
      </c>
      <c r="AD60" s="67">
        <v>0.25</v>
      </c>
      <c r="AE60" s="34">
        <f t="shared" si="17"/>
        <v>0.25</v>
      </c>
      <c r="AF60" s="32">
        <f t="shared" si="18"/>
        <v>1.75</v>
      </c>
      <c r="AG60" s="33" t="str">
        <f>HLOOKUP($AF60,Cotation!$I$5:$M$10,'Risk Register'!U60,(TRUE))</f>
        <v>F</v>
      </c>
      <c r="AH60" s="31"/>
      <c r="AI60" s="9"/>
    </row>
    <row r="61" spans="1:35" ht="52.15" customHeight="1" x14ac:dyDescent="0.35">
      <c r="A61" s="8"/>
      <c r="B61" s="171" t="s">
        <v>95</v>
      </c>
      <c r="C61" s="108" t="s">
        <v>530</v>
      </c>
      <c r="D61" s="106"/>
      <c r="E61" s="103"/>
      <c r="F61" s="103"/>
      <c r="G61" s="103" t="s">
        <v>12</v>
      </c>
      <c r="H61" s="103" t="s">
        <v>12</v>
      </c>
      <c r="I61" s="103"/>
      <c r="J61" s="103"/>
      <c r="K61" s="103"/>
      <c r="L61" s="103"/>
      <c r="M61" s="31" t="s">
        <v>97</v>
      </c>
      <c r="N61" s="161" t="s">
        <v>575</v>
      </c>
      <c r="O61" s="167" t="s">
        <v>531</v>
      </c>
      <c r="P61" s="164" t="s">
        <v>110</v>
      </c>
      <c r="Q61" s="168">
        <v>1</v>
      </c>
      <c r="R61" s="168">
        <v>1</v>
      </c>
      <c r="S61" s="168">
        <f t="shared" si="16"/>
        <v>2</v>
      </c>
      <c r="T61" s="168">
        <v>1</v>
      </c>
      <c r="U61" s="36">
        <f>VLOOKUP($T61,Cotation!$G$6:$H$10,2,(FALSE))</f>
        <v>6</v>
      </c>
      <c r="V61" s="33" t="str">
        <f>HLOOKUP($S61,Cotation!$I$5:$M$10,'Risk Register'!U61,(TRUE))</f>
        <v>F</v>
      </c>
      <c r="W61" s="164" t="s">
        <v>100</v>
      </c>
      <c r="X61" s="31" t="s">
        <v>104</v>
      </c>
      <c r="Y61" s="165" t="s">
        <v>528</v>
      </c>
      <c r="Z61" s="67">
        <v>0.25</v>
      </c>
      <c r="AA61" s="165" t="s">
        <v>529</v>
      </c>
      <c r="AB61" s="67">
        <v>0.25</v>
      </c>
      <c r="AC61" s="165" t="s">
        <v>532</v>
      </c>
      <c r="AD61" s="67">
        <v>0.25</v>
      </c>
      <c r="AE61" s="34">
        <f t="shared" si="17"/>
        <v>0.25</v>
      </c>
      <c r="AF61" s="32">
        <f t="shared" si="18"/>
        <v>0.5</v>
      </c>
      <c r="AG61" s="33" t="str">
        <f>HLOOKUP($AF61,Cotation!$I$5:$M$10,'Risk Register'!U61,(TRUE))</f>
        <v>F</v>
      </c>
      <c r="AH61" s="31"/>
      <c r="AI61" s="9"/>
    </row>
    <row r="62" spans="1:35" ht="78.5" customHeight="1" x14ac:dyDescent="0.35">
      <c r="A62" s="8"/>
      <c r="B62" s="46" t="s">
        <v>95</v>
      </c>
      <c r="C62" s="108" t="s">
        <v>274</v>
      </c>
      <c r="D62" s="106"/>
      <c r="E62" s="103"/>
      <c r="F62" s="103"/>
      <c r="G62" s="103"/>
      <c r="H62" s="103"/>
      <c r="I62" s="103"/>
      <c r="J62" s="103"/>
      <c r="K62" s="103"/>
      <c r="L62" s="103"/>
      <c r="M62" s="31" t="s">
        <v>97</v>
      </c>
      <c r="N62" s="161" t="s">
        <v>575</v>
      </c>
      <c r="O62" s="32" t="s">
        <v>276</v>
      </c>
      <c r="P62" s="31" t="s">
        <v>99</v>
      </c>
      <c r="Q62" s="36">
        <v>2</v>
      </c>
      <c r="R62" s="36">
        <v>1</v>
      </c>
      <c r="S62" s="36">
        <f t="shared" si="16"/>
        <v>3</v>
      </c>
      <c r="T62" s="36">
        <v>1</v>
      </c>
      <c r="U62" s="36">
        <f>VLOOKUP($T62,Cotation!$G$6:$H$10,2,(FALSE))</f>
        <v>6</v>
      </c>
      <c r="V62" s="33" t="str">
        <f>HLOOKUP($S62,Cotation!$I$5:$M$10,'Risk Register'!U62,(TRUE))</f>
        <v>F</v>
      </c>
      <c r="W62" s="31" t="s">
        <v>277</v>
      </c>
      <c r="X62" s="170" t="s">
        <v>457</v>
      </c>
      <c r="Y62" s="165" t="s">
        <v>456</v>
      </c>
      <c r="Z62" s="67"/>
      <c r="AA62" s="165" t="s">
        <v>534</v>
      </c>
      <c r="AB62" s="67"/>
      <c r="AC62" s="165" t="s">
        <v>460</v>
      </c>
      <c r="AD62" s="67"/>
      <c r="AE62" s="34"/>
      <c r="AF62" s="32"/>
      <c r="AG62" s="33"/>
      <c r="AH62" s="31"/>
      <c r="AI62" s="9"/>
    </row>
    <row r="63" spans="1:35" ht="130.5" customHeight="1" x14ac:dyDescent="0.35">
      <c r="B63" s="46" t="s">
        <v>95</v>
      </c>
      <c r="C63" s="108" t="s">
        <v>274</v>
      </c>
      <c r="D63" s="106"/>
      <c r="E63" s="103"/>
      <c r="F63" s="103"/>
      <c r="G63" s="103"/>
      <c r="H63" s="103" t="s">
        <v>12</v>
      </c>
      <c r="I63" s="103"/>
      <c r="J63" s="103" t="s">
        <v>12</v>
      </c>
      <c r="K63" s="103"/>
      <c r="L63" s="103"/>
      <c r="M63" s="31" t="s">
        <v>275</v>
      </c>
      <c r="N63" s="161" t="s">
        <v>575</v>
      </c>
      <c r="O63" s="32" t="s">
        <v>276</v>
      </c>
      <c r="P63" s="31" t="s">
        <v>99</v>
      </c>
      <c r="Q63" s="36">
        <v>2</v>
      </c>
      <c r="R63" s="36">
        <v>1</v>
      </c>
      <c r="S63" s="36">
        <f t="shared" ref="S63" si="21">Q63+R63</f>
        <v>3</v>
      </c>
      <c r="T63" s="36">
        <v>2</v>
      </c>
      <c r="U63" s="36">
        <f>VLOOKUP($T63,Cotation!$G$6:$H$10,2,(FALSE))</f>
        <v>5</v>
      </c>
      <c r="V63" s="33" t="str">
        <f>HLOOKUP($S63,Cotation!$I$5:$M$10,'Risk Register'!U63,(TRUE))</f>
        <v>F</v>
      </c>
      <c r="W63" s="31" t="s">
        <v>277</v>
      </c>
      <c r="X63" s="170" t="s">
        <v>510</v>
      </c>
      <c r="Y63" s="165" t="s">
        <v>528</v>
      </c>
      <c r="Z63" s="67">
        <v>0.25</v>
      </c>
      <c r="AA63" s="165" t="s">
        <v>524</v>
      </c>
      <c r="AB63" s="67">
        <v>0.25</v>
      </c>
      <c r="AC63" s="165" t="s">
        <v>533</v>
      </c>
      <c r="AD63" s="67">
        <v>0.1</v>
      </c>
      <c r="AE63" s="34">
        <f t="shared" ref="AE63" si="22">100%-(Z63+AB63+AD63)</f>
        <v>0.4</v>
      </c>
      <c r="AF63" s="32">
        <f t="shared" ref="AF63" si="23">S63*AE63</f>
        <v>1.2000000000000002</v>
      </c>
      <c r="AG63" s="33" t="str">
        <f>HLOOKUP($AF63,Cotation!$I$5:$M$10,'Risk Register'!U63,(TRUE))</f>
        <v>F</v>
      </c>
      <c r="AH63" s="31"/>
      <c r="AI63" s="9"/>
    </row>
    <row r="64" spans="1:35" ht="259.5" customHeight="1" x14ac:dyDescent="0.35">
      <c r="A64" s="8"/>
      <c r="B64" s="46" t="s">
        <v>95</v>
      </c>
      <c r="C64" s="108" t="s">
        <v>278</v>
      </c>
      <c r="D64" s="106"/>
      <c r="E64" s="103"/>
      <c r="F64" s="103"/>
      <c r="G64" s="103" t="s">
        <v>12</v>
      </c>
      <c r="H64" s="103" t="s">
        <v>12</v>
      </c>
      <c r="I64" s="103"/>
      <c r="J64" s="103"/>
      <c r="K64" s="103"/>
      <c r="L64" s="103"/>
      <c r="M64" s="31" t="s">
        <v>97</v>
      </c>
      <c r="N64" s="161" t="s">
        <v>575</v>
      </c>
      <c r="O64" s="32" t="s">
        <v>279</v>
      </c>
      <c r="P64" s="31" t="s">
        <v>110</v>
      </c>
      <c r="Q64" s="36">
        <v>1</v>
      </c>
      <c r="R64" s="36">
        <v>1</v>
      </c>
      <c r="S64" s="36">
        <f t="shared" si="16"/>
        <v>2</v>
      </c>
      <c r="T64" s="36">
        <v>1</v>
      </c>
      <c r="U64" s="36">
        <f>VLOOKUP($T64,Cotation!$G$6:$H$10,2,(FALSE))</f>
        <v>6</v>
      </c>
      <c r="V64" s="33" t="str">
        <f>HLOOKUP($S64,Cotation!$I$5:$M$10,'Risk Register'!U64,(TRUE))</f>
        <v>F</v>
      </c>
      <c r="W64" s="31" t="s">
        <v>280</v>
      </c>
      <c r="X64" s="170" t="s">
        <v>457</v>
      </c>
      <c r="Y64" s="165" t="s">
        <v>535</v>
      </c>
      <c r="Z64" s="67">
        <v>0.25</v>
      </c>
      <c r="AA64" s="165" t="s">
        <v>536</v>
      </c>
      <c r="AB64" s="67">
        <v>0.25</v>
      </c>
      <c r="AC64" s="165" t="s">
        <v>460</v>
      </c>
      <c r="AD64" s="67">
        <v>0.25</v>
      </c>
      <c r="AE64" s="34">
        <f t="shared" si="17"/>
        <v>0.25</v>
      </c>
      <c r="AF64" s="32">
        <f t="shared" si="18"/>
        <v>0.5</v>
      </c>
      <c r="AG64" s="33" t="str">
        <f>HLOOKUP($AF64,Cotation!$I$5:$M$10,'Risk Register'!U64,(TRUE))</f>
        <v>F</v>
      </c>
      <c r="AH64" s="31"/>
      <c r="AI64" s="9"/>
    </row>
    <row r="65" spans="1:35" ht="114" customHeight="1" x14ac:dyDescent="0.35">
      <c r="A65" s="8"/>
      <c r="B65" s="107" t="s">
        <v>281</v>
      </c>
      <c r="C65" s="108" t="s">
        <v>282</v>
      </c>
      <c r="D65" s="106" t="s">
        <v>12</v>
      </c>
      <c r="E65" s="103" t="s">
        <v>12</v>
      </c>
      <c r="F65" s="103" t="s">
        <v>12</v>
      </c>
      <c r="G65" s="103" t="s">
        <v>12</v>
      </c>
      <c r="H65" s="103" t="s">
        <v>12</v>
      </c>
      <c r="I65" s="103" t="s">
        <v>12</v>
      </c>
      <c r="J65" s="103" t="s">
        <v>12</v>
      </c>
      <c r="K65" s="103" t="s">
        <v>12</v>
      </c>
      <c r="L65" s="103" t="s">
        <v>12</v>
      </c>
      <c r="M65" s="31" t="s">
        <v>283</v>
      </c>
      <c r="N65" s="161" t="s">
        <v>595</v>
      </c>
      <c r="O65" s="32" t="s">
        <v>284</v>
      </c>
      <c r="P65" s="31" t="s">
        <v>110</v>
      </c>
      <c r="Q65" s="36">
        <v>1</v>
      </c>
      <c r="R65" s="36">
        <v>1</v>
      </c>
      <c r="S65" s="36">
        <f t="shared" si="16"/>
        <v>2</v>
      </c>
      <c r="T65" s="36">
        <v>3</v>
      </c>
      <c r="U65" s="36">
        <f>VLOOKUP($T65,Cotation!$G$6:$H$10,2,(FALSE))</f>
        <v>4</v>
      </c>
      <c r="V65" s="33" t="str">
        <f>HLOOKUP($S65,Cotation!$I$5:$M$10,'Risk Register'!U65,(TRUE))</f>
        <v>M</v>
      </c>
      <c r="W65" s="31"/>
      <c r="X65" s="170" t="s">
        <v>435</v>
      </c>
      <c r="Y65" s="165" t="s">
        <v>537</v>
      </c>
      <c r="Z65" s="67">
        <v>0.25</v>
      </c>
      <c r="AA65" s="35" t="s">
        <v>286</v>
      </c>
      <c r="AB65" s="67"/>
      <c r="AC65" s="35" t="s">
        <v>285</v>
      </c>
      <c r="AD65" s="67"/>
      <c r="AE65" s="34">
        <f t="shared" si="17"/>
        <v>0.75</v>
      </c>
      <c r="AF65" s="32">
        <f t="shared" si="18"/>
        <v>1.5</v>
      </c>
      <c r="AG65" s="33" t="str">
        <f>HLOOKUP($AF65,Cotation!$I$5:$M$10,'Risk Register'!U65,(TRUE))</f>
        <v>F</v>
      </c>
      <c r="AH65" s="31"/>
      <c r="AI65" s="9"/>
    </row>
    <row r="66" spans="1:35" ht="114" customHeight="1" x14ac:dyDescent="0.35">
      <c r="A66" s="8"/>
      <c r="B66" s="107" t="s">
        <v>600</v>
      </c>
      <c r="C66" s="108" t="s">
        <v>287</v>
      </c>
      <c r="D66" s="106"/>
      <c r="E66" s="103"/>
      <c r="F66" s="103"/>
      <c r="G66" s="103"/>
      <c r="H66" s="103" t="s">
        <v>12</v>
      </c>
      <c r="I66" s="103" t="s">
        <v>12</v>
      </c>
      <c r="J66" s="103" t="s">
        <v>12</v>
      </c>
      <c r="K66" s="103"/>
      <c r="L66" s="103"/>
      <c r="M66" s="31" t="s">
        <v>603</v>
      </c>
      <c r="N66" s="161" t="s">
        <v>595</v>
      </c>
      <c r="O66" s="32" t="s">
        <v>289</v>
      </c>
      <c r="P66" s="31" t="s">
        <v>110</v>
      </c>
      <c r="Q66" s="36">
        <v>4</v>
      </c>
      <c r="R66" s="36">
        <v>1</v>
      </c>
      <c r="S66" s="36">
        <f t="shared" ref="S66" si="24">Q66+R66</f>
        <v>5</v>
      </c>
      <c r="T66" s="36">
        <v>2</v>
      </c>
      <c r="U66" s="36">
        <f>VLOOKUP($T66,Cotation!$G$6:$H$10,2,(FALSE))</f>
        <v>5</v>
      </c>
      <c r="V66" s="33" t="str">
        <f>HLOOKUP($S66,Cotation!$I$5:$M$10,'Risk Register'!U66,(TRUE))</f>
        <v>M</v>
      </c>
      <c r="W66" s="31"/>
      <c r="X66" s="31" t="s">
        <v>104</v>
      </c>
      <c r="Y66" s="165" t="s">
        <v>601</v>
      </c>
      <c r="Z66" s="67">
        <v>0.25</v>
      </c>
      <c r="AA66" s="35" t="s">
        <v>120</v>
      </c>
      <c r="AB66" s="67"/>
      <c r="AC66" s="35" t="s">
        <v>602</v>
      </c>
      <c r="AD66" s="67">
        <v>0.1</v>
      </c>
      <c r="AE66" s="34">
        <f t="shared" ref="AE66" si="25">100%-(Z66+AB66+AD66)</f>
        <v>0.65</v>
      </c>
      <c r="AF66" s="32">
        <f t="shared" ref="AF66" si="26">S66*AE66</f>
        <v>3.25</v>
      </c>
      <c r="AG66" s="33" t="str">
        <f>HLOOKUP($AF66,Cotation!$I$5:$M$10,'Risk Register'!U66,(TRUE))</f>
        <v>F</v>
      </c>
      <c r="AH66" s="31"/>
      <c r="AI66" s="9"/>
    </row>
    <row r="67" spans="1:35" ht="67.150000000000006" customHeight="1" x14ac:dyDescent="0.35">
      <c r="A67" s="8"/>
      <c r="B67" s="107" t="s">
        <v>600</v>
      </c>
      <c r="C67" s="108" t="s">
        <v>287</v>
      </c>
      <c r="D67" s="106"/>
      <c r="E67" s="103"/>
      <c r="F67" s="103"/>
      <c r="G67" s="103"/>
      <c r="H67" s="103" t="s">
        <v>12</v>
      </c>
      <c r="I67" s="103" t="s">
        <v>12</v>
      </c>
      <c r="J67" s="103" t="s">
        <v>12</v>
      </c>
      <c r="K67" s="103"/>
      <c r="L67" s="103"/>
      <c r="M67" s="31" t="s">
        <v>288</v>
      </c>
      <c r="N67" s="161" t="s">
        <v>599</v>
      </c>
      <c r="O67" s="32" t="s">
        <v>289</v>
      </c>
      <c r="P67" s="31" t="s">
        <v>110</v>
      </c>
      <c r="Q67" s="36">
        <v>4</v>
      </c>
      <c r="R67" s="36">
        <v>1</v>
      </c>
      <c r="S67" s="36">
        <f t="shared" si="16"/>
        <v>5</v>
      </c>
      <c r="T67" s="36">
        <v>3</v>
      </c>
      <c r="U67" s="36">
        <f>VLOOKUP($T67,Cotation!$G$6:$H$10,2,(FALSE))</f>
        <v>4</v>
      </c>
      <c r="V67" s="33" t="str">
        <f>HLOOKUP($S67,Cotation!$I$5:$M$10,'Risk Register'!U67,(TRUE))</f>
        <v>M</v>
      </c>
      <c r="W67" s="31"/>
      <c r="X67" s="31" t="s">
        <v>104</v>
      </c>
      <c r="Y67" s="35" t="s">
        <v>290</v>
      </c>
      <c r="Z67" s="67">
        <v>0.25</v>
      </c>
      <c r="AA67" s="35" t="s">
        <v>120</v>
      </c>
      <c r="AB67" s="67">
        <v>0</v>
      </c>
      <c r="AC67" s="35" t="s">
        <v>291</v>
      </c>
      <c r="AD67" s="67">
        <v>0.25</v>
      </c>
      <c r="AE67" s="34">
        <f t="shared" si="17"/>
        <v>0.5</v>
      </c>
      <c r="AF67" s="32">
        <f t="shared" si="18"/>
        <v>2.5</v>
      </c>
      <c r="AG67" s="33" t="str">
        <f>HLOOKUP($AF67,Cotation!$I$5:$M$10,'Risk Register'!U67,(TRUE))</f>
        <v>M</v>
      </c>
      <c r="AH67" s="31"/>
      <c r="AI67" s="9"/>
    </row>
    <row r="68" spans="1:35" ht="119" customHeight="1" x14ac:dyDescent="0.35">
      <c r="B68" s="46" t="s">
        <v>95</v>
      </c>
      <c r="C68" s="108" t="s">
        <v>292</v>
      </c>
      <c r="D68" s="106"/>
      <c r="E68" s="103"/>
      <c r="F68" s="103"/>
      <c r="G68" s="103" t="s">
        <v>12</v>
      </c>
      <c r="H68" s="103" t="s">
        <v>12</v>
      </c>
      <c r="I68" s="103"/>
      <c r="J68" s="103"/>
      <c r="K68" s="103"/>
      <c r="L68" s="103" t="s">
        <v>12</v>
      </c>
      <c r="M68" s="31" t="s">
        <v>97</v>
      </c>
      <c r="N68" s="161" t="s">
        <v>575</v>
      </c>
      <c r="O68" s="32" t="s">
        <v>293</v>
      </c>
      <c r="P68" s="31" t="s">
        <v>110</v>
      </c>
      <c r="Q68" s="36">
        <v>1</v>
      </c>
      <c r="R68" s="36">
        <v>1</v>
      </c>
      <c r="S68" s="36">
        <f t="shared" si="16"/>
        <v>2</v>
      </c>
      <c r="T68" s="36">
        <v>5</v>
      </c>
      <c r="U68" s="36">
        <f>VLOOKUP($T68,Cotation!$G$6:$H$10,2,(FALSE))</f>
        <v>2</v>
      </c>
      <c r="V68" s="33" t="str">
        <f>HLOOKUP($S68,Cotation!$I$5:$M$10,'Risk Register'!U68,(TRUE))</f>
        <v>S</v>
      </c>
      <c r="W68" s="31" t="s">
        <v>294</v>
      </c>
      <c r="X68" s="170" t="s">
        <v>457</v>
      </c>
      <c r="Y68" s="165" t="s">
        <v>544</v>
      </c>
      <c r="Z68" s="67">
        <v>0.25</v>
      </c>
      <c r="AA68" s="165" t="s">
        <v>545</v>
      </c>
      <c r="AB68" s="67">
        <v>0.25</v>
      </c>
      <c r="AC68" s="165" t="s">
        <v>460</v>
      </c>
      <c r="AD68" s="67">
        <v>0.25</v>
      </c>
      <c r="AE68" s="34">
        <f t="shared" si="17"/>
        <v>0.25</v>
      </c>
      <c r="AF68" s="32">
        <f t="shared" si="18"/>
        <v>0.5</v>
      </c>
      <c r="AG68" s="33" t="str">
        <f>HLOOKUP($AF68,Cotation!$I$5:$M$10,'Risk Register'!U68,(TRUE))</f>
        <v>M</v>
      </c>
    </row>
    <row r="69" spans="1:35" ht="149" customHeight="1" x14ac:dyDescent="0.35">
      <c r="B69" s="107" t="s">
        <v>136</v>
      </c>
      <c r="C69" s="108" t="s">
        <v>548</v>
      </c>
      <c r="D69" s="106"/>
      <c r="E69" s="103"/>
      <c r="F69" s="103"/>
      <c r="G69" s="103" t="s">
        <v>12</v>
      </c>
      <c r="H69" s="103" t="s">
        <v>12</v>
      </c>
      <c r="I69" s="103"/>
      <c r="J69" s="103" t="s">
        <v>12</v>
      </c>
      <c r="K69" s="103" t="s">
        <v>12</v>
      </c>
      <c r="L69" s="103"/>
      <c r="M69" s="31" t="s">
        <v>217</v>
      </c>
      <c r="N69" s="161" t="s">
        <v>571</v>
      </c>
      <c r="O69" s="32" t="s">
        <v>295</v>
      </c>
      <c r="P69" s="31" t="s">
        <v>110</v>
      </c>
      <c r="Q69" s="36">
        <v>1</v>
      </c>
      <c r="R69" s="36">
        <v>1</v>
      </c>
      <c r="S69" s="36">
        <f t="shared" ref="S69" si="27">Q69+R69</f>
        <v>2</v>
      </c>
      <c r="T69" s="36">
        <v>4</v>
      </c>
      <c r="U69" s="36">
        <f>VLOOKUP($T69,Cotation!$G$6:$H$10,2,(FALSE))</f>
        <v>3</v>
      </c>
      <c r="V69" s="33" t="str">
        <f>HLOOKUP($S69,Cotation!$I$5:$M$10,'Risk Register'!U69,(TRUE))</f>
        <v>M</v>
      </c>
      <c r="W69" s="31" t="s">
        <v>549</v>
      </c>
      <c r="X69" s="170" t="s">
        <v>510</v>
      </c>
      <c r="Y69" s="35" t="s">
        <v>546</v>
      </c>
      <c r="Z69" s="67">
        <v>0.25</v>
      </c>
      <c r="AA69" s="35"/>
      <c r="AB69" s="67">
        <v>0.25</v>
      </c>
      <c r="AC69" s="165" t="s">
        <v>550</v>
      </c>
      <c r="AD69" s="67">
        <v>0.25</v>
      </c>
      <c r="AE69" s="34">
        <f t="shared" ref="AE69" si="28">100%-(Z69+AB69+AD69)</f>
        <v>0.25</v>
      </c>
      <c r="AF69" s="32">
        <f t="shared" ref="AF69" si="29">S69*AE69</f>
        <v>0.5</v>
      </c>
      <c r="AG69" s="33" t="str">
        <f>HLOOKUP($AF69,Cotation!$I$5:$M$10,'Risk Register'!U69,(TRUE))</f>
        <v>M</v>
      </c>
    </row>
    <row r="70" spans="1:35" ht="149" customHeight="1" x14ac:dyDescent="0.35">
      <c r="B70" s="107" t="s">
        <v>136</v>
      </c>
      <c r="C70" s="108" t="s">
        <v>547</v>
      </c>
      <c r="D70" s="106"/>
      <c r="E70" s="103"/>
      <c r="F70" s="103"/>
      <c r="G70" s="103" t="s">
        <v>12</v>
      </c>
      <c r="H70" s="103" t="s">
        <v>12</v>
      </c>
      <c r="I70" s="103"/>
      <c r="J70" s="103" t="s">
        <v>12</v>
      </c>
      <c r="K70" s="103" t="s">
        <v>12</v>
      </c>
      <c r="L70" s="103"/>
      <c r="M70" s="31" t="s">
        <v>217</v>
      </c>
      <c r="N70" s="161" t="s">
        <v>571</v>
      </c>
      <c r="O70" s="32" t="s">
        <v>295</v>
      </c>
      <c r="P70" s="31" t="s">
        <v>110</v>
      </c>
      <c r="Q70" s="36">
        <v>1</v>
      </c>
      <c r="R70" s="36">
        <v>1</v>
      </c>
      <c r="S70" s="36">
        <f t="shared" si="16"/>
        <v>2</v>
      </c>
      <c r="T70" s="36">
        <v>4</v>
      </c>
      <c r="U70" s="36">
        <f>VLOOKUP($T70,Cotation!$G$6:$H$10,2,(FALSE))</f>
        <v>3</v>
      </c>
      <c r="V70" s="33" t="str">
        <f>HLOOKUP($S70,Cotation!$I$5:$M$10,'Risk Register'!U70,(TRUE))</f>
        <v>M</v>
      </c>
      <c r="W70" s="31" t="s">
        <v>146</v>
      </c>
      <c r="X70" s="170" t="s">
        <v>510</v>
      </c>
      <c r="Y70" s="35" t="s">
        <v>546</v>
      </c>
      <c r="Z70" s="67">
        <v>0.25</v>
      </c>
      <c r="AA70" s="165" t="s">
        <v>524</v>
      </c>
      <c r="AB70" s="67">
        <v>0.25</v>
      </c>
      <c r="AC70" s="165" t="s">
        <v>533</v>
      </c>
      <c r="AD70" s="67">
        <v>0.25</v>
      </c>
      <c r="AE70" s="34">
        <f t="shared" si="17"/>
        <v>0.25</v>
      </c>
      <c r="AF70" s="32">
        <f t="shared" si="18"/>
        <v>0.5</v>
      </c>
      <c r="AG70" s="33" t="str">
        <f>HLOOKUP($AF70,Cotation!$I$5:$M$10,'Risk Register'!U70,(TRUE))</f>
        <v>M</v>
      </c>
    </row>
    <row r="71" spans="1:35" ht="79" customHeight="1" x14ac:dyDescent="0.35">
      <c r="B71" s="107" t="s">
        <v>147</v>
      </c>
      <c r="C71" s="108" t="s">
        <v>551</v>
      </c>
      <c r="D71" s="106"/>
      <c r="E71" s="103"/>
      <c r="F71" s="103"/>
      <c r="G71" s="103" t="s">
        <v>12</v>
      </c>
      <c r="H71" s="103" t="s">
        <v>12</v>
      </c>
      <c r="I71" s="103"/>
      <c r="J71" s="103"/>
      <c r="K71" s="103"/>
      <c r="L71" s="103"/>
      <c r="M71" s="31" t="s">
        <v>144</v>
      </c>
      <c r="N71" s="161" t="s">
        <v>571</v>
      </c>
      <c r="O71" s="32" t="s">
        <v>295</v>
      </c>
      <c r="P71" s="31" t="s">
        <v>110</v>
      </c>
      <c r="Q71" s="36">
        <v>1</v>
      </c>
      <c r="R71" s="36">
        <v>2</v>
      </c>
      <c r="S71" s="36">
        <f t="shared" si="16"/>
        <v>3</v>
      </c>
      <c r="T71" s="36">
        <v>4</v>
      </c>
      <c r="U71" s="36">
        <f>VLOOKUP($T71,Cotation!$G$6:$H$10,2,(FALSE))</f>
        <v>3</v>
      </c>
      <c r="V71" s="33" t="str">
        <f>HLOOKUP($S71,Cotation!$I$5:$M$10,'Risk Register'!U71,(TRUE))</f>
        <v>M</v>
      </c>
      <c r="W71" s="31" t="s">
        <v>552</v>
      </c>
      <c r="X71" s="170" t="s">
        <v>510</v>
      </c>
      <c r="Y71" s="35" t="s">
        <v>546</v>
      </c>
      <c r="Z71" s="67">
        <v>0.25</v>
      </c>
      <c r="AA71" s="165" t="s">
        <v>524</v>
      </c>
      <c r="AB71" s="67">
        <v>0.25</v>
      </c>
      <c r="AC71" s="165" t="s">
        <v>533</v>
      </c>
      <c r="AD71" s="67">
        <v>0.25</v>
      </c>
      <c r="AE71" s="34">
        <f t="shared" si="17"/>
        <v>0.25</v>
      </c>
      <c r="AF71" s="32">
        <f t="shared" si="18"/>
        <v>0.75</v>
      </c>
      <c r="AG71" s="33" t="str">
        <f>HLOOKUP($AF71,Cotation!$I$5:$M$10,'Risk Register'!U71,(TRUE))</f>
        <v>M</v>
      </c>
    </row>
    <row r="72" spans="1:35" ht="46.9" customHeight="1" x14ac:dyDescent="0.35">
      <c r="B72" s="107" t="s">
        <v>296</v>
      </c>
      <c r="C72" s="108" t="s">
        <v>297</v>
      </c>
      <c r="D72" s="106"/>
      <c r="E72" s="103" t="s">
        <v>12</v>
      </c>
      <c r="F72" s="103" t="s">
        <v>12</v>
      </c>
      <c r="G72" s="103" t="s">
        <v>12</v>
      </c>
      <c r="H72" s="103" t="s">
        <v>12</v>
      </c>
      <c r="I72" s="103" t="s">
        <v>12</v>
      </c>
      <c r="J72" s="103" t="s">
        <v>12</v>
      </c>
      <c r="K72" s="103" t="s">
        <v>12</v>
      </c>
      <c r="L72" s="103" t="s">
        <v>12</v>
      </c>
      <c r="M72" s="31" t="s">
        <v>298</v>
      </c>
      <c r="N72" s="161" t="s">
        <v>570</v>
      </c>
      <c r="O72" s="32" t="s">
        <v>299</v>
      </c>
      <c r="P72" s="31" t="s">
        <v>264</v>
      </c>
      <c r="Q72" s="36">
        <v>5</v>
      </c>
      <c r="R72" s="36">
        <v>4</v>
      </c>
      <c r="S72" s="36">
        <f t="shared" si="16"/>
        <v>9</v>
      </c>
      <c r="T72" s="36">
        <v>2</v>
      </c>
      <c r="U72" s="36">
        <f>VLOOKUP($T72,Cotation!$G$6:$H$10,2,(FALSE))</f>
        <v>5</v>
      </c>
      <c r="V72" s="33" t="str">
        <f>HLOOKUP($S72,Cotation!$I$5:$M$10,'Risk Register'!U72,(TRUE))</f>
        <v>S</v>
      </c>
      <c r="W72" s="31" t="s">
        <v>300</v>
      </c>
      <c r="X72" s="31" t="s">
        <v>104</v>
      </c>
      <c r="Y72" s="35" t="s">
        <v>301</v>
      </c>
      <c r="Z72" s="67">
        <v>0.25</v>
      </c>
      <c r="AA72" s="35" t="s">
        <v>120</v>
      </c>
      <c r="AB72" s="67">
        <v>0</v>
      </c>
      <c r="AC72" s="35" t="s">
        <v>302</v>
      </c>
      <c r="AD72" s="67"/>
      <c r="AE72" s="34">
        <f t="shared" si="17"/>
        <v>0.75</v>
      </c>
      <c r="AF72" s="32">
        <f t="shared" si="18"/>
        <v>6.75</v>
      </c>
      <c r="AG72" s="33" t="str">
        <f>HLOOKUP($AF72,Cotation!$I$5:$M$10,'Risk Register'!U72,(TRUE))</f>
        <v>M</v>
      </c>
    </row>
    <row r="73" spans="1:35" ht="46.9" customHeight="1" x14ac:dyDescent="0.35">
      <c r="B73" s="107" t="s">
        <v>296</v>
      </c>
      <c r="C73" s="108" t="s">
        <v>303</v>
      </c>
      <c r="D73" s="106" t="s">
        <v>12</v>
      </c>
      <c r="E73" s="103" t="s">
        <v>12</v>
      </c>
      <c r="F73" s="103" t="s">
        <v>12</v>
      </c>
      <c r="G73" s="103" t="s">
        <v>12</v>
      </c>
      <c r="H73" s="103" t="s">
        <v>12</v>
      </c>
      <c r="I73" s="103" t="s">
        <v>12</v>
      </c>
      <c r="J73" s="103" t="s">
        <v>12</v>
      </c>
      <c r="K73" s="103" t="s">
        <v>12</v>
      </c>
      <c r="L73" s="103" t="s">
        <v>12</v>
      </c>
      <c r="M73" s="31" t="s">
        <v>298</v>
      </c>
      <c r="N73" s="161" t="s">
        <v>570</v>
      </c>
      <c r="O73" s="32" t="s">
        <v>299</v>
      </c>
      <c r="P73" s="31" t="s">
        <v>264</v>
      </c>
      <c r="Q73" s="36">
        <v>5</v>
      </c>
      <c r="R73" s="36">
        <v>3</v>
      </c>
      <c r="S73" s="36">
        <f t="shared" ref="S73" si="30">Q73+R73</f>
        <v>8</v>
      </c>
      <c r="T73" s="36">
        <v>2</v>
      </c>
      <c r="U73" s="36">
        <f>VLOOKUP($T73,Cotation!$G$6:$H$10,2,(FALSE))</f>
        <v>5</v>
      </c>
      <c r="V73" s="33" t="str">
        <f>HLOOKUP($S73,Cotation!$I$5:$M$10,'Risk Register'!U73,(TRUE))</f>
        <v>S</v>
      </c>
      <c r="W73" s="31" t="s">
        <v>304</v>
      </c>
      <c r="X73" s="31" t="s">
        <v>104</v>
      </c>
      <c r="Y73" s="35" t="s">
        <v>305</v>
      </c>
      <c r="Z73" s="67">
        <v>0.25</v>
      </c>
      <c r="AA73" s="35" t="s">
        <v>120</v>
      </c>
      <c r="AB73" s="67">
        <v>0</v>
      </c>
      <c r="AC73" s="35" t="s">
        <v>302</v>
      </c>
      <c r="AD73" s="67"/>
      <c r="AE73" s="34">
        <f>100%-(Z73+AB73+AD73)</f>
        <v>0.75</v>
      </c>
      <c r="AF73" s="32">
        <f t="shared" si="18"/>
        <v>6</v>
      </c>
      <c r="AG73" s="33" t="str">
        <f>HLOOKUP($AF73,Cotation!$I$5:$M$10,'Risk Register'!U73,(TRUE))</f>
        <v>M</v>
      </c>
    </row>
    <row r="74" spans="1:35" ht="46.9" customHeight="1" x14ac:dyDescent="0.35">
      <c r="B74" s="107" t="s">
        <v>296</v>
      </c>
      <c r="C74" s="108" t="s">
        <v>306</v>
      </c>
      <c r="D74" s="106" t="s">
        <v>12</v>
      </c>
      <c r="E74" s="103" t="s">
        <v>12</v>
      </c>
      <c r="F74" s="103" t="s">
        <v>12</v>
      </c>
      <c r="G74" s="103" t="s">
        <v>12</v>
      </c>
      <c r="H74" s="103" t="s">
        <v>12</v>
      </c>
      <c r="I74" s="103" t="s">
        <v>12</v>
      </c>
      <c r="J74" s="103" t="s">
        <v>12</v>
      </c>
      <c r="K74" s="103" t="s">
        <v>12</v>
      </c>
      <c r="L74" s="103" t="s">
        <v>12</v>
      </c>
      <c r="M74" s="31" t="s">
        <v>298</v>
      </c>
      <c r="N74" s="161" t="s">
        <v>570</v>
      </c>
      <c r="O74" s="32" t="s">
        <v>299</v>
      </c>
      <c r="P74" s="31" t="s">
        <v>264</v>
      </c>
      <c r="Q74" s="36">
        <v>5</v>
      </c>
      <c r="R74" s="36">
        <v>4</v>
      </c>
      <c r="S74" s="36">
        <f t="shared" si="16"/>
        <v>9</v>
      </c>
      <c r="T74" s="36">
        <v>2</v>
      </c>
      <c r="U74" s="36">
        <f>VLOOKUP($T74,Cotation!$G$6:$H$10,2,(FALSE))</f>
        <v>5</v>
      </c>
      <c r="V74" s="33" t="str">
        <f>HLOOKUP($S74,Cotation!$I$5:$M$10,'Risk Register'!U74,(TRUE))</f>
        <v>S</v>
      </c>
      <c r="W74" s="31" t="s">
        <v>300</v>
      </c>
      <c r="X74" s="31" t="s">
        <v>104</v>
      </c>
      <c r="Y74" s="35" t="s">
        <v>301</v>
      </c>
      <c r="Z74" s="67">
        <v>0.25</v>
      </c>
      <c r="AA74" s="35" t="s">
        <v>120</v>
      </c>
      <c r="AB74" s="67">
        <v>0</v>
      </c>
      <c r="AC74" s="35" t="s">
        <v>302</v>
      </c>
      <c r="AD74" s="67"/>
      <c r="AE74" s="34">
        <f t="shared" si="17"/>
        <v>0.75</v>
      </c>
      <c r="AF74" s="32">
        <f t="shared" si="18"/>
        <v>6.75</v>
      </c>
      <c r="AG74" s="33" t="str">
        <f>HLOOKUP($AF74,Cotation!$I$5:$M$10,'Risk Register'!U74,(TRUE))</f>
        <v>M</v>
      </c>
    </row>
    <row r="75" spans="1:35" ht="43.15" customHeight="1" x14ac:dyDescent="0.35">
      <c r="B75" s="107" t="s">
        <v>296</v>
      </c>
      <c r="C75" s="108" t="s">
        <v>307</v>
      </c>
      <c r="D75" s="106" t="s">
        <v>12</v>
      </c>
      <c r="E75" s="103" t="s">
        <v>12</v>
      </c>
      <c r="F75" s="103" t="s">
        <v>12</v>
      </c>
      <c r="G75" s="103" t="s">
        <v>12</v>
      </c>
      <c r="H75" s="103" t="s">
        <v>12</v>
      </c>
      <c r="I75" s="103" t="s">
        <v>12</v>
      </c>
      <c r="J75" s="103" t="s">
        <v>12</v>
      </c>
      <c r="K75" s="103" t="s">
        <v>12</v>
      </c>
      <c r="L75" s="103" t="s">
        <v>12</v>
      </c>
      <c r="M75" s="31" t="s">
        <v>298</v>
      </c>
      <c r="N75" s="161" t="s">
        <v>570</v>
      </c>
      <c r="O75" s="32" t="s">
        <v>308</v>
      </c>
      <c r="P75" s="31" t="s">
        <v>110</v>
      </c>
      <c r="Q75" s="36">
        <v>5</v>
      </c>
      <c r="R75" s="36">
        <v>3</v>
      </c>
      <c r="S75" s="36">
        <f t="shared" si="16"/>
        <v>8</v>
      </c>
      <c r="T75" s="36">
        <v>3</v>
      </c>
      <c r="U75" s="36">
        <f>VLOOKUP($T75,Cotation!$G$6:$H$10,2,(FALSE))</f>
        <v>4</v>
      </c>
      <c r="V75" s="33" t="str">
        <f>HLOOKUP($S75,Cotation!$I$5:$M$10,'Risk Register'!U75,(TRUE))</f>
        <v>S</v>
      </c>
      <c r="W75" s="31" t="s">
        <v>309</v>
      </c>
      <c r="X75" s="31" t="s">
        <v>104</v>
      </c>
      <c r="Y75" s="35" t="s">
        <v>560</v>
      </c>
      <c r="Z75" s="67">
        <v>0.25</v>
      </c>
      <c r="AA75" s="165" t="s">
        <v>454</v>
      </c>
      <c r="AB75" s="67">
        <v>0</v>
      </c>
      <c r="AC75" s="35" t="s">
        <v>310</v>
      </c>
      <c r="AD75" s="67"/>
      <c r="AE75" s="34">
        <f t="shared" si="17"/>
        <v>0.75</v>
      </c>
      <c r="AF75" s="32">
        <f t="shared" si="18"/>
        <v>6</v>
      </c>
      <c r="AG75" s="33" t="str">
        <f>HLOOKUP($AF75,Cotation!$I$5:$M$10,'Risk Register'!U75,(TRUE))</f>
        <v>S</v>
      </c>
    </row>
    <row r="76" spans="1:35" ht="65.5" customHeight="1" x14ac:dyDescent="0.35">
      <c r="B76" s="107" t="s">
        <v>296</v>
      </c>
      <c r="C76" s="108" t="s">
        <v>311</v>
      </c>
      <c r="D76" s="106"/>
      <c r="E76" s="103"/>
      <c r="F76" s="103" t="s">
        <v>12</v>
      </c>
      <c r="G76" s="103" t="s">
        <v>12</v>
      </c>
      <c r="H76" s="103" t="s">
        <v>12</v>
      </c>
      <c r="I76" s="103" t="s">
        <v>12</v>
      </c>
      <c r="J76" s="103" t="s">
        <v>12</v>
      </c>
      <c r="K76" s="103"/>
      <c r="L76" s="103"/>
      <c r="M76" s="31" t="s">
        <v>312</v>
      </c>
      <c r="N76" s="161" t="s">
        <v>572</v>
      </c>
      <c r="O76" s="32" t="s">
        <v>313</v>
      </c>
      <c r="P76" s="31" t="s">
        <v>110</v>
      </c>
      <c r="Q76" s="36">
        <v>5</v>
      </c>
      <c r="R76" s="36">
        <v>1</v>
      </c>
      <c r="S76" s="36">
        <f t="shared" si="16"/>
        <v>6</v>
      </c>
      <c r="T76" s="36">
        <v>5</v>
      </c>
      <c r="U76" s="36">
        <f>VLOOKUP($T76,Cotation!$G$6:$H$10,2,(FALSE))</f>
        <v>2</v>
      </c>
      <c r="V76" s="33" t="str">
        <f>HLOOKUP($S76,Cotation!$I$5:$M$10,'Risk Register'!U76,(TRUE))</f>
        <v>C</v>
      </c>
      <c r="W76" s="31" t="s">
        <v>314</v>
      </c>
      <c r="X76" s="31" t="s">
        <v>104</v>
      </c>
      <c r="Y76" s="35" t="s">
        <v>561</v>
      </c>
      <c r="Z76" s="67">
        <v>0.25</v>
      </c>
      <c r="AA76" s="35" t="s">
        <v>120</v>
      </c>
      <c r="AB76" s="67">
        <v>0</v>
      </c>
      <c r="AC76" s="165" t="s">
        <v>562</v>
      </c>
      <c r="AD76" s="67">
        <v>0.25</v>
      </c>
      <c r="AE76" s="34">
        <f t="shared" si="17"/>
        <v>0.5</v>
      </c>
      <c r="AF76" s="32">
        <f t="shared" si="18"/>
        <v>3</v>
      </c>
      <c r="AG76" s="33" t="str">
        <f>HLOOKUP($AF76,Cotation!$I$5:$M$10,'Risk Register'!U76,(TRUE))</f>
        <v>S</v>
      </c>
    </row>
    <row r="77" spans="1:35" ht="65.5" customHeight="1" x14ac:dyDescent="0.35">
      <c r="B77" s="172" t="s">
        <v>136</v>
      </c>
      <c r="C77" s="108" t="s">
        <v>553</v>
      </c>
      <c r="D77" s="106"/>
      <c r="E77" s="103"/>
      <c r="F77" s="103"/>
      <c r="G77" s="103" t="s">
        <v>12</v>
      </c>
      <c r="H77" s="103" t="s">
        <v>12</v>
      </c>
      <c r="I77" s="103"/>
      <c r="J77" s="103" t="s">
        <v>12</v>
      </c>
      <c r="K77" s="103" t="s">
        <v>12</v>
      </c>
      <c r="L77" s="103"/>
      <c r="M77" s="164" t="s">
        <v>217</v>
      </c>
      <c r="N77" s="161" t="s">
        <v>571</v>
      </c>
      <c r="O77" s="167" t="s">
        <v>554</v>
      </c>
      <c r="P77" s="164" t="s">
        <v>110</v>
      </c>
      <c r="Q77" s="168">
        <v>1</v>
      </c>
      <c r="R77" s="168">
        <v>1</v>
      </c>
      <c r="S77" s="168">
        <f t="shared" ref="S77" si="31">Q77+R77</f>
        <v>2</v>
      </c>
      <c r="T77" s="168">
        <v>3</v>
      </c>
      <c r="U77" s="168">
        <f>VLOOKUP($T77,Cotation!$G$6:$H$10,2,(FALSE))</f>
        <v>4</v>
      </c>
      <c r="V77" s="33" t="str">
        <f>HLOOKUP($S77,Cotation!$I$5:$M$10,'Risk Register'!U77,(TRUE))</f>
        <v>M</v>
      </c>
      <c r="W77" s="164" t="s">
        <v>146</v>
      </c>
      <c r="X77" s="164" t="s">
        <v>104</v>
      </c>
      <c r="Y77" s="165" t="s">
        <v>528</v>
      </c>
      <c r="Z77" s="67">
        <v>0.1</v>
      </c>
      <c r="AA77" s="165" t="s">
        <v>104</v>
      </c>
      <c r="AB77" s="67">
        <v>0</v>
      </c>
      <c r="AC77" s="165" t="s">
        <v>558</v>
      </c>
      <c r="AD77" s="67">
        <v>0.1</v>
      </c>
      <c r="AE77" s="34">
        <f t="shared" ref="AE77" si="32">100%-(Z77+AB77+AD77)</f>
        <v>0.8</v>
      </c>
      <c r="AF77" s="32">
        <f t="shared" ref="AF77" si="33">S77*AE77</f>
        <v>1.6</v>
      </c>
      <c r="AG77" s="33" t="str">
        <f>HLOOKUP($AF77,Cotation!$I$5:$M$10,'Risk Register'!U77,(TRUE))</f>
        <v>F</v>
      </c>
      <c r="AI77" s="3" t="s">
        <v>559</v>
      </c>
    </row>
    <row r="78" spans="1:35" ht="64.5" customHeight="1" x14ac:dyDescent="0.35">
      <c r="B78" s="107" t="s">
        <v>136</v>
      </c>
      <c r="C78" s="108" t="s">
        <v>315</v>
      </c>
      <c r="D78" s="106"/>
      <c r="E78" s="103"/>
      <c r="F78" s="103"/>
      <c r="G78" s="103" t="s">
        <v>12</v>
      </c>
      <c r="H78" s="103" t="s">
        <v>12</v>
      </c>
      <c r="I78" s="103"/>
      <c r="J78" s="103" t="s">
        <v>12</v>
      </c>
      <c r="K78" s="103" t="s">
        <v>12</v>
      </c>
      <c r="L78" s="103"/>
      <c r="M78" s="31" t="s">
        <v>217</v>
      </c>
      <c r="N78" s="161" t="s">
        <v>571</v>
      </c>
      <c r="O78" s="32" t="s">
        <v>316</v>
      </c>
      <c r="P78" s="31" t="s">
        <v>110</v>
      </c>
      <c r="Q78" s="36">
        <v>1</v>
      </c>
      <c r="R78" s="36">
        <v>1</v>
      </c>
      <c r="S78" s="36">
        <f t="shared" si="16"/>
        <v>2</v>
      </c>
      <c r="T78" s="36">
        <v>4</v>
      </c>
      <c r="U78" s="36">
        <f>VLOOKUP($T78,Cotation!$G$6:$H$10,2,(FALSE))</f>
        <v>3</v>
      </c>
      <c r="V78" s="33" t="str">
        <f>HLOOKUP($S78,Cotation!$I$5:$M$10,'Risk Register'!U78,(TRUE))</f>
        <v>M</v>
      </c>
      <c r="W78" s="31" t="s">
        <v>146</v>
      </c>
      <c r="X78" s="170" t="s">
        <v>510</v>
      </c>
      <c r="Y78" s="165" t="s">
        <v>555</v>
      </c>
      <c r="Z78" s="67">
        <v>0.25</v>
      </c>
      <c r="AA78" s="165" t="s">
        <v>556</v>
      </c>
      <c r="AB78" s="67">
        <v>0</v>
      </c>
      <c r="AC78" s="165" t="s">
        <v>557</v>
      </c>
      <c r="AD78" s="67">
        <v>0.25</v>
      </c>
      <c r="AE78" s="34">
        <f t="shared" si="17"/>
        <v>0.5</v>
      </c>
      <c r="AF78" s="32">
        <f t="shared" si="18"/>
        <v>1</v>
      </c>
      <c r="AG78" s="33" t="str">
        <f>HLOOKUP($AF78,Cotation!$I$5:$M$10,'Risk Register'!U78,(TRUE))</f>
        <v>M</v>
      </c>
    </row>
    <row r="79" spans="1:35" ht="51.65" customHeight="1" x14ac:dyDescent="0.35">
      <c r="B79" s="107" t="s">
        <v>317</v>
      </c>
      <c r="C79" s="108" t="s">
        <v>318</v>
      </c>
      <c r="D79" s="106"/>
      <c r="E79" s="103"/>
      <c r="F79" s="103"/>
      <c r="G79" s="103" t="s">
        <v>12</v>
      </c>
      <c r="H79" s="103" t="s">
        <v>12</v>
      </c>
      <c r="I79" s="103"/>
      <c r="J79" s="103" t="s">
        <v>12</v>
      </c>
      <c r="K79" s="103"/>
      <c r="L79" s="103"/>
      <c r="M79" s="31" t="s">
        <v>190</v>
      </c>
      <c r="N79" s="161" t="s">
        <v>599</v>
      </c>
      <c r="O79" s="32" t="s">
        <v>319</v>
      </c>
      <c r="P79" s="31" t="s">
        <v>110</v>
      </c>
      <c r="Q79" s="36">
        <v>3</v>
      </c>
      <c r="R79" s="36">
        <v>2</v>
      </c>
      <c r="S79" s="36">
        <f t="shared" si="16"/>
        <v>5</v>
      </c>
      <c r="T79" s="36">
        <v>1</v>
      </c>
      <c r="U79" s="36">
        <f>VLOOKUP($T79,Cotation!$G$6:$H$10,2,(FALSE))</f>
        <v>6</v>
      </c>
      <c r="V79" s="33" t="str">
        <f>HLOOKUP($S79,Cotation!$I$5:$M$10,'Risk Register'!U79,(TRUE))</f>
        <v>F</v>
      </c>
      <c r="W79" s="31" t="s">
        <v>320</v>
      </c>
      <c r="X79" s="31" t="s">
        <v>104</v>
      </c>
      <c r="Y79" s="165" t="s">
        <v>484</v>
      </c>
      <c r="Z79" s="67">
        <v>0.25</v>
      </c>
      <c r="AA79" s="35" t="s">
        <v>104</v>
      </c>
      <c r="AB79" s="67">
        <v>0</v>
      </c>
      <c r="AC79" s="165" t="s">
        <v>582</v>
      </c>
      <c r="AD79" s="67">
        <v>0.25</v>
      </c>
      <c r="AE79" s="34">
        <v>0.5</v>
      </c>
      <c r="AF79" s="32">
        <v>2.5</v>
      </c>
      <c r="AG79" s="33" t="str">
        <f>HLOOKUP($AF79,Cotation!$I$5:$M$10,'Risk Register'!U79,(TRUE))</f>
        <v>F</v>
      </c>
    </row>
    <row r="80" spans="1:35" ht="42.65" customHeight="1" x14ac:dyDescent="0.35">
      <c r="B80" s="107" t="s">
        <v>317</v>
      </c>
      <c r="C80" s="108" t="s">
        <v>321</v>
      </c>
      <c r="D80" s="106"/>
      <c r="E80" s="103"/>
      <c r="F80" s="103"/>
      <c r="G80" s="103" t="s">
        <v>12</v>
      </c>
      <c r="H80" s="103" t="s">
        <v>12</v>
      </c>
      <c r="I80" s="103"/>
      <c r="J80" s="103" t="s">
        <v>12</v>
      </c>
      <c r="K80" s="103"/>
      <c r="L80" s="103"/>
      <c r="M80" s="31" t="s">
        <v>322</v>
      </c>
      <c r="N80" s="161" t="s">
        <v>599</v>
      </c>
      <c r="O80" s="32" t="s">
        <v>319</v>
      </c>
      <c r="P80" s="31" t="s">
        <v>110</v>
      </c>
      <c r="Q80" s="36">
        <v>3</v>
      </c>
      <c r="R80" s="36">
        <v>1</v>
      </c>
      <c r="S80" s="36">
        <f t="shared" si="16"/>
        <v>4</v>
      </c>
      <c r="T80" s="36">
        <v>1</v>
      </c>
      <c r="U80" s="36">
        <f>VLOOKUP($T80,Cotation!$G$6:$H$10,2,(FALSE))</f>
        <v>6</v>
      </c>
      <c r="V80" s="33" t="str">
        <f>HLOOKUP($S80,Cotation!$I$5:$M$10,'Risk Register'!U80,(TRUE))</f>
        <v>F</v>
      </c>
      <c r="W80" s="31" t="s">
        <v>320</v>
      </c>
      <c r="X80" s="31" t="s">
        <v>104</v>
      </c>
      <c r="Y80" s="165" t="s">
        <v>484</v>
      </c>
      <c r="Z80" s="67">
        <v>0.25</v>
      </c>
      <c r="AA80" s="35" t="s">
        <v>104</v>
      </c>
      <c r="AB80" s="67">
        <v>0</v>
      </c>
      <c r="AC80" s="165" t="s">
        <v>582</v>
      </c>
      <c r="AD80" s="67">
        <v>0.25</v>
      </c>
      <c r="AE80" s="34">
        <v>0.5</v>
      </c>
      <c r="AF80" s="32">
        <v>2</v>
      </c>
      <c r="AG80" s="33" t="str">
        <f>HLOOKUP($AF80,Cotation!$I$5:$M$10,'Risk Register'!U80,(TRUE))</f>
        <v>F</v>
      </c>
    </row>
    <row r="81" spans="2:34" ht="42.65" customHeight="1" x14ac:dyDescent="0.35">
      <c r="B81" s="107" t="s">
        <v>317</v>
      </c>
      <c r="C81" s="108" t="s">
        <v>323</v>
      </c>
      <c r="D81" s="106"/>
      <c r="E81" s="103"/>
      <c r="F81" s="103"/>
      <c r="G81" s="103" t="s">
        <v>12</v>
      </c>
      <c r="H81" s="103" t="s">
        <v>12</v>
      </c>
      <c r="I81" s="103"/>
      <c r="J81" s="103" t="s">
        <v>12</v>
      </c>
      <c r="K81" s="103"/>
      <c r="L81" s="103"/>
      <c r="M81" s="31" t="s">
        <v>190</v>
      </c>
      <c r="N81" s="161" t="s">
        <v>599</v>
      </c>
      <c r="O81" s="32" t="s">
        <v>319</v>
      </c>
      <c r="P81" s="31" t="s">
        <v>110</v>
      </c>
      <c r="Q81" s="36">
        <v>4</v>
      </c>
      <c r="R81" s="36">
        <v>3</v>
      </c>
      <c r="S81" s="36">
        <f t="shared" si="16"/>
        <v>7</v>
      </c>
      <c r="T81" s="36">
        <v>3</v>
      </c>
      <c r="U81" s="36">
        <f>VLOOKUP($T81,Cotation!$G$6:$H$10,2,(FALSE))</f>
        <v>4</v>
      </c>
      <c r="V81" s="33" t="str">
        <f>HLOOKUP($S81,Cotation!$I$5:$M$10,'Risk Register'!U81,(TRUE))</f>
        <v>S</v>
      </c>
      <c r="W81" s="31" t="s">
        <v>324</v>
      </c>
      <c r="X81" s="31" t="s">
        <v>104</v>
      </c>
      <c r="Y81" s="165" t="s">
        <v>484</v>
      </c>
      <c r="Z81" s="67">
        <v>0.25</v>
      </c>
      <c r="AA81" s="35" t="s">
        <v>104</v>
      </c>
      <c r="AB81" s="67">
        <v>0</v>
      </c>
      <c r="AC81" s="165" t="s">
        <v>582</v>
      </c>
      <c r="AD81" s="67">
        <v>0.25</v>
      </c>
      <c r="AE81" s="34">
        <v>0.5</v>
      </c>
      <c r="AF81" s="32">
        <v>3.5</v>
      </c>
      <c r="AG81" s="33" t="str">
        <f>HLOOKUP($AF81,Cotation!$I$5:$M$10,'Risk Register'!U81,(TRUE))</f>
        <v>M</v>
      </c>
    </row>
    <row r="82" spans="2:34" ht="42.65" customHeight="1" x14ac:dyDescent="0.35">
      <c r="B82" s="107" t="s">
        <v>317</v>
      </c>
      <c r="C82" s="108" t="s">
        <v>325</v>
      </c>
      <c r="D82" s="106"/>
      <c r="E82" s="103"/>
      <c r="F82" s="103"/>
      <c r="G82" s="103" t="s">
        <v>12</v>
      </c>
      <c r="H82" s="103" t="s">
        <v>12</v>
      </c>
      <c r="I82" s="103"/>
      <c r="J82" s="103"/>
      <c r="K82" s="103"/>
      <c r="L82" s="103"/>
      <c r="M82" s="31" t="s">
        <v>326</v>
      </c>
      <c r="N82" s="161" t="s">
        <v>599</v>
      </c>
      <c r="O82" s="32" t="s">
        <v>319</v>
      </c>
      <c r="P82" s="31" t="s">
        <v>110</v>
      </c>
      <c r="Q82" s="36">
        <v>3</v>
      </c>
      <c r="R82" s="36">
        <v>1</v>
      </c>
      <c r="S82" s="36">
        <f t="shared" si="16"/>
        <v>4</v>
      </c>
      <c r="T82" s="36">
        <v>1</v>
      </c>
      <c r="U82" s="36">
        <f>VLOOKUP($T82,Cotation!$G$6:$H$10,2,(FALSE))</f>
        <v>6</v>
      </c>
      <c r="V82" s="33" t="str">
        <f>HLOOKUP($S82,Cotation!$I$5:$M$10,'Risk Register'!U82,(TRUE))</f>
        <v>F</v>
      </c>
      <c r="W82" s="31" t="s">
        <v>305</v>
      </c>
      <c r="X82" s="31" t="s">
        <v>104</v>
      </c>
      <c r="Y82" s="165" t="s">
        <v>484</v>
      </c>
      <c r="Z82" s="67">
        <v>0.25</v>
      </c>
      <c r="AA82" s="35" t="s">
        <v>305</v>
      </c>
      <c r="AB82" s="67">
        <v>0</v>
      </c>
      <c r="AC82" s="165" t="s">
        <v>584</v>
      </c>
      <c r="AD82" s="67"/>
      <c r="AE82" s="34">
        <v>1</v>
      </c>
      <c r="AF82" s="32">
        <v>4</v>
      </c>
      <c r="AG82" s="33" t="str">
        <f>HLOOKUP($AF82,Cotation!$I$5:$M$10,'Risk Register'!U82,(TRUE))</f>
        <v>F</v>
      </c>
    </row>
    <row r="83" spans="2:34" ht="42.65" customHeight="1" x14ac:dyDescent="0.35">
      <c r="B83" s="107" t="s">
        <v>317</v>
      </c>
      <c r="C83" s="108" t="s">
        <v>327</v>
      </c>
      <c r="D83" s="106"/>
      <c r="E83" s="103"/>
      <c r="F83" s="103"/>
      <c r="G83" s="103" t="s">
        <v>12</v>
      </c>
      <c r="H83" s="103" t="s">
        <v>12</v>
      </c>
      <c r="I83" s="103"/>
      <c r="J83" s="103" t="s">
        <v>12</v>
      </c>
      <c r="K83" s="103"/>
      <c r="L83" s="103"/>
      <c r="M83" s="31" t="s">
        <v>328</v>
      </c>
      <c r="N83" s="161" t="s">
        <v>599</v>
      </c>
      <c r="O83" s="32" t="s">
        <v>319</v>
      </c>
      <c r="P83" s="31" t="s">
        <v>110</v>
      </c>
      <c r="Q83" s="36">
        <v>1</v>
      </c>
      <c r="R83" s="36">
        <v>3</v>
      </c>
      <c r="S83" s="36">
        <f t="shared" si="16"/>
        <v>4</v>
      </c>
      <c r="T83" s="36">
        <v>3</v>
      </c>
      <c r="U83" s="36">
        <f>VLOOKUP($T83,Cotation!$G$6:$H$10,2,(FALSE))</f>
        <v>4</v>
      </c>
      <c r="V83" s="33" t="str">
        <f>HLOOKUP($S83,Cotation!$I$5:$M$10,'Risk Register'!U83,(TRUE))</f>
        <v>M</v>
      </c>
      <c r="W83" s="31" t="s">
        <v>329</v>
      </c>
      <c r="X83" s="31" t="s">
        <v>104</v>
      </c>
      <c r="Y83" s="165" t="s">
        <v>484</v>
      </c>
      <c r="Z83" s="67">
        <v>0.25</v>
      </c>
      <c r="AA83" s="35" t="s">
        <v>330</v>
      </c>
      <c r="AB83" s="67">
        <v>0.1</v>
      </c>
      <c r="AC83" s="165" t="s">
        <v>583</v>
      </c>
      <c r="AD83" s="67">
        <v>0.1</v>
      </c>
      <c r="AE83" s="34">
        <v>0.55000000000000004</v>
      </c>
      <c r="AF83" s="32">
        <v>2.2000000000000002</v>
      </c>
      <c r="AG83" s="33" t="str">
        <f>HLOOKUP($AF83,Cotation!$I$5:$M$10,'Risk Register'!U83,(TRUE))</f>
        <v>M</v>
      </c>
    </row>
    <row r="84" spans="2:34" ht="42.65" customHeight="1" x14ac:dyDescent="0.35">
      <c r="B84" s="107" t="s">
        <v>317</v>
      </c>
      <c r="C84" s="108" t="s">
        <v>331</v>
      </c>
      <c r="D84" s="106"/>
      <c r="E84" s="103"/>
      <c r="F84" s="103"/>
      <c r="G84" s="103" t="s">
        <v>12</v>
      </c>
      <c r="H84" s="103" t="s">
        <v>12</v>
      </c>
      <c r="I84" s="103"/>
      <c r="J84" s="103" t="s">
        <v>12</v>
      </c>
      <c r="K84" s="103"/>
      <c r="L84" s="103"/>
      <c r="M84" s="31" t="s">
        <v>326</v>
      </c>
      <c r="N84" s="161" t="s">
        <v>599</v>
      </c>
      <c r="O84" s="32" t="s">
        <v>332</v>
      </c>
      <c r="P84" s="31" t="s">
        <v>110</v>
      </c>
      <c r="Q84" s="36">
        <v>4</v>
      </c>
      <c r="R84" s="36">
        <v>1</v>
      </c>
      <c r="S84" s="36">
        <f t="shared" si="16"/>
        <v>5</v>
      </c>
      <c r="T84" s="36">
        <v>1</v>
      </c>
      <c r="U84" s="36">
        <f>VLOOKUP($T84,Cotation!$G$6:$H$10,2,(FALSE))</f>
        <v>6</v>
      </c>
      <c r="V84" s="33" t="str">
        <f>HLOOKUP($S84,Cotation!$I$5:$M$10,'Risk Register'!U84,(TRUE))</f>
        <v>F</v>
      </c>
      <c r="W84" s="31" t="s">
        <v>305</v>
      </c>
      <c r="X84" s="31" t="s">
        <v>104</v>
      </c>
      <c r="Y84" s="35" t="s">
        <v>305</v>
      </c>
      <c r="Z84" s="67">
        <v>0.25</v>
      </c>
      <c r="AA84" s="35" t="s">
        <v>305</v>
      </c>
      <c r="AB84" s="67">
        <v>0</v>
      </c>
      <c r="AC84" s="35" t="s">
        <v>333</v>
      </c>
      <c r="AD84" s="67">
        <v>0.1</v>
      </c>
      <c r="AE84" s="34">
        <v>1</v>
      </c>
      <c r="AF84" s="32">
        <v>5</v>
      </c>
      <c r="AG84" s="33" t="str">
        <f>HLOOKUP($AF84,Cotation!$I$5:$M$10,'Risk Register'!U84,(TRUE))</f>
        <v>F</v>
      </c>
    </row>
    <row r="85" spans="2:34" ht="91.5" customHeight="1" x14ac:dyDescent="0.35">
      <c r="B85" s="107" t="s">
        <v>317</v>
      </c>
      <c r="C85" s="108" t="s">
        <v>334</v>
      </c>
      <c r="D85" s="106"/>
      <c r="E85" s="103"/>
      <c r="F85" s="103"/>
      <c r="G85" s="103" t="s">
        <v>12</v>
      </c>
      <c r="H85" s="103" t="s">
        <v>12</v>
      </c>
      <c r="I85" s="103"/>
      <c r="J85" s="103" t="s">
        <v>12</v>
      </c>
      <c r="K85" s="103"/>
      <c r="L85" s="103"/>
      <c r="M85" s="31" t="s">
        <v>335</v>
      </c>
      <c r="N85" s="161" t="s">
        <v>573</v>
      </c>
      <c r="O85" s="32" t="s">
        <v>332</v>
      </c>
      <c r="P85" s="31" t="s">
        <v>110</v>
      </c>
      <c r="Q85" s="36">
        <v>4</v>
      </c>
      <c r="R85" s="36">
        <v>3</v>
      </c>
      <c r="S85" s="36">
        <f t="shared" si="16"/>
        <v>7</v>
      </c>
      <c r="T85" s="36">
        <v>2</v>
      </c>
      <c r="U85" s="36">
        <f>VLOOKUP($T85,Cotation!$G$6:$H$10,2,(FALSE))</f>
        <v>5</v>
      </c>
      <c r="V85" s="33" t="str">
        <f>HLOOKUP($S85,Cotation!$I$5:$M$10,'Risk Register'!U85,(TRUE))</f>
        <v>M</v>
      </c>
      <c r="W85" s="31" t="s">
        <v>305</v>
      </c>
      <c r="X85" s="31" t="s">
        <v>104</v>
      </c>
      <c r="Y85" s="165" t="s">
        <v>587</v>
      </c>
      <c r="Z85" s="67">
        <v>0.25</v>
      </c>
      <c r="AA85" s="35" t="s">
        <v>585</v>
      </c>
      <c r="AB85" s="67">
        <v>0</v>
      </c>
      <c r="AC85" s="35" t="s">
        <v>586</v>
      </c>
      <c r="AD85" s="67">
        <v>0.25</v>
      </c>
      <c r="AE85" s="34">
        <v>0.75</v>
      </c>
      <c r="AF85" s="32">
        <v>5.25</v>
      </c>
      <c r="AG85" s="33" t="str">
        <f>HLOOKUP($AF85,Cotation!$I$5:$M$10,'Risk Register'!U85,(TRUE))</f>
        <v>M</v>
      </c>
    </row>
    <row r="86" spans="2:34" ht="91.5" customHeight="1" x14ac:dyDescent="0.35">
      <c r="B86" s="172" t="s">
        <v>317</v>
      </c>
      <c r="C86" s="108" t="s">
        <v>336</v>
      </c>
      <c r="D86" s="106"/>
      <c r="E86" s="103"/>
      <c r="F86" s="103"/>
      <c r="G86" s="103" t="s">
        <v>12</v>
      </c>
      <c r="H86" s="103" t="s">
        <v>12</v>
      </c>
      <c r="I86" s="103"/>
      <c r="J86" s="103" t="s">
        <v>12</v>
      </c>
      <c r="K86" s="103"/>
      <c r="L86" s="103"/>
      <c r="M86" s="31" t="s">
        <v>589</v>
      </c>
      <c r="N86" s="161" t="s">
        <v>570</v>
      </c>
      <c r="O86" s="32" t="s">
        <v>332</v>
      </c>
      <c r="P86" s="31" t="s">
        <v>110</v>
      </c>
      <c r="Q86" s="36">
        <v>4</v>
      </c>
      <c r="R86" s="36">
        <v>3</v>
      </c>
      <c r="S86" s="36">
        <f t="shared" ref="S86" si="34">Q86+R86</f>
        <v>7</v>
      </c>
      <c r="T86" s="36">
        <v>3</v>
      </c>
      <c r="U86" s="36">
        <f>VLOOKUP($T86,Cotation!$G$6:$H$10,2,(FALSE))</f>
        <v>4</v>
      </c>
      <c r="V86" s="33" t="str">
        <f>HLOOKUP($S86,Cotation!$I$5:$M$10,'Risk Register'!U86,(TRUE))</f>
        <v>S</v>
      </c>
      <c r="W86" s="31" t="s">
        <v>305</v>
      </c>
      <c r="X86" s="31" t="s">
        <v>104</v>
      </c>
      <c r="Y86" s="35" t="s">
        <v>591</v>
      </c>
      <c r="Z86" s="67">
        <v>0.25</v>
      </c>
      <c r="AA86" s="35"/>
      <c r="AB86" s="67"/>
      <c r="AC86" s="35"/>
      <c r="AD86" s="67"/>
      <c r="AE86" s="34">
        <v>0.75</v>
      </c>
      <c r="AF86" s="32">
        <v>5.25</v>
      </c>
      <c r="AG86" s="33" t="str">
        <f>HLOOKUP($AF86,Cotation!$I$5:$M$10,'Risk Register'!U86,(TRUE))</f>
        <v>M</v>
      </c>
    </row>
    <row r="87" spans="2:34" ht="42.65" customHeight="1" x14ac:dyDescent="0.35">
      <c r="B87" s="107" t="s">
        <v>317</v>
      </c>
      <c r="C87" s="108" t="s">
        <v>336</v>
      </c>
      <c r="D87" s="106"/>
      <c r="E87" s="103"/>
      <c r="F87" s="103"/>
      <c r="G87" s="103" t="s">
        <v>12</v>
      </c>
      <c r="H87" s="103" t="s">
        <v>12</v>
      </c>
      <c r="I87" s="103"/>
      <c r="J87" s="103" t="s">
        <v>12</v>
      </c>
      <c r="K87" s="103"/>
      <c r="L87" s="103"/>
      <c r="M87" s="31" t="s">
        <v>590</v>
      </c>
      <c r="N87" s="161" t="s">
        <v>599</v>
      </c>
      <c r="O87" s="32" t="s">
        <v>332</v>
      </c>
      <c r="P87" s="31" t="s">
        <v>110</v>
      </c>
      <c r="Q87" s="36">
        <v>1</v>
      </c>
      <c r="R87" s="36">
        <v>2</v>
      </c>
      <c r="S87" s="36">
        <f t="shared" si="16"/>
        <v>3</v>
      </c>
      <c r="T87" s="36">
        <v>2</v>
      </c>
      <c r="U87" s="36">
        <f>VLOOKUP($T87,Cotation!$G$6:$H$10,2,(FALSE))</f>
        <v>5</v>
      </c>
      <c r="V87" s="33" t="str">
        <f>HLOOKUP($S87,Cotation!$I$5:$M$10,'Risk Register'!U87,(TRUE))</f>
        <v>F</v>
      </c>
      <c r="W87" s="31" t="s">
        <v>305</v>
      </c>
      <c r="X87" s="31" t="s">
        <v>104</v>
      </c>
      <c r="Y87" s="165" t="s">
        <v>588</v>
      </c>
      <c r="Z87" s="67">
        <v>0.25</v>
      </c>
      <c r="AA87" s="35" t="s">
        <v>305</v>
      </c>
      <c r="AB87" s="67">
        <v>0</v>
      </c>
      <c r="AC87" s="165" t="s">
        <v>584</v>
      </c>
      <c r="AD87" s="67"/>
      <c r="AE87" s="34">
        <v>1</v>
      </c>
      <c r="AF87" s="32">
        <v>3</v>
      </c>
      <c r="AG87" s="33" t="str">
        <f>HLOOKUP($AF87,Cotation!$I$5:$M$10,'Risk Register'!U87,(TRUE))</f>
        <v>F</v>
      </c>
    </row>
    <row r="88" spans="2:34" ht="51.65" customHeight="1" x14ac:dyDescent="0.35">
      <c r="B88" s="107" t="s">
        <v>317</v>
      </c>
      <c r="C88" s="108" t="s">
        <v>337</v>
      </c>
      <c r="D88" s="106"/>
      <c r="E88" s="103"/>
      <c r="F88" s="103"/>
      <c r="G88" s="103" t="s">
        <v>12</v>
      </c>
      <c r="H88" s="103" t="s">
        <v>12</v>
      </c>
      <c r="I88" s="103"/>
      <c r="J88" s="103" t="s">
        <v>12</v>
      </c>
      <c r="K88" s="103"/>
      <c r="L88" s="103"/>
      <c r="M88" s="31" t="s">
        <v>338</v>
      </c>
      <c r="N88" s="161" t="s">
        <v>573</v>
      </c>
      <c r="O88" s="32" t="s">
        <v>339</v>
      </c>
      <c r="P88" s="31" t="s">
        <v>110</v>
      </c>
      <c r="Q88" s="36">
        <v>1</v>
      </c>
      <c r="R88" s="36">
        <v>1</v>
      </c>
      <c r="S88" s="36">
        <f t="shared" si="16"/>
        <v>2</v>
      </c>
      <c r="T88" s="36">
        <v>2</v>
      </c>
      <c r="U88" s="36">
        <f>VLOOKUP($T88,Cotation!$G$6:$H$10,2,(FALSE))</f>
        <v>5</v>
      </c>
      <c r="V88" s="33" t="str">
        <f>HLOOKUP($S88,Cotation!$I$5:$M$10,'Risk Register'!U88,(TRUE))</f>
        <v>F</v>
      </c>
      <c r="W88" s="31" t="s">
        <v>340</v>
      </c>
      <c r="X88" s="31" t="s">
        <v>104</v>
      </c>
      <c r="Y88" s="35" t="s">
        <v>591</v>
      </c>
      <c r="Z88" s="67">
        <v>0.25</v>
      </c>
      <c r="AA88" s="35" t="s">
        <v>305</v>
      </c>
      <c r="AB88" s="67">
        <v>0</v>
      </c>
      <c r="AC88" s="35" t="s">
        <v>305</v>
      </c>
      <c r="AD88" s="67">
        <v>0</v>
      </c>
      <c r="AE88" s="34">
        <v>1</v>
      </c>
      <c r="AF88" s="32">
        <v>1</v>
      </c>
      <c r="AG88" s="33" t="str">
        <f>HLOOKUP($AF88,Cotation!$I$5:$M$10,'Risk Register'!U88,(TRUE))</f>
        <v>F</v>
      </c>
    </row>
    <row r="89" spans="2:34" ht="63" customHeight="1" x14ac:dyDescent="0.35">
      <c r="B89" s="107" t="s">
        <v>341</v>
      </c>
      <c r="C89" s="108" t="s">
        <v>342</v>
      </c>
      <c r="D89" s="106"/>
      <c r="E89" s="103"/>
      <c r="F89" s="103"/>
      <c r="G89" s="103" t="s">
        <v>12</v>
      </c>
      <c r="H89" s="103" t="s">
        <v>12</v>
      </c>
      <c r="I89" s="103"/>
      <c r="J89" s="103" t="s">
        <v>12</v>
      </c>
      <c r="K89" s="103"/>
      <c r="L89" s="103"/>
      <c r="M89" s="31" t="s">
        <v>128</v>
      </c>
      <c r="N89" s="161" t="s">
        <v>573</v>
      </c>
      <c r="O89" s="32" t="s">
        <v>343</v>
      </c>
      <c r="P89" s="31" t="s">
        <v>110</v>
      </c>
      <c r="Q89" s="36">
        <v>1</v>
      </c>
      <c r="R89" s="36">
        <v>1</v>
      </c>
      <c r="S89" s="36">
        <f t="shared" si="16"/>
        <v>2</v>
      </c>
      <c r="T89" s="36">
        <v>2</v>
      </c>
      <c r="U89" s="36">
        <f>VLOOKUP($T89,Cotation!$G$6:$H$10,2,(FALSE))</f>
        <v>5</v>
      </c>
      <c r="V89" s="33" t="str">
        <f>HLOOKUP($S89,Cotation!$I$5:$M$10,'Risk Register'!U89,(TRUE))</f>
        <v>F</v>
      </c>
      <c r="W89" s="31" t="s">
        <v>340</v>
      </c>
      <c r="X89" s="31" t="s">
        <v>104</v>
      </c>
      <c r="Y89" s="35" t="s">
        <v>591</v>
      </c>
      <c r="Z89" s="67">
        <v>0.25</v>
      </c>
      <c r="AA89" s="35" t="s">
        <v>305</v>
      </c>
      <c r="AB89" s="67">
        <v>0</v>
      </c>
      <c r="AC89" s="35" t="s">
        <v>305</v>
      </c>
      <c r="AD89" s="67">
        <v>0</v>
      </c>
      <c r="AE89" s="34">
        <v>1</v>
      </c>
      <c r="AF89" s="32">
        <v>1</v>
      </c>
      <c r="AG89" s="33" t="str">
        <f>HLOOKUP($AF89,Cotation!$I$5:$M$10,'Risk Register'!U89,(TRUE))</f>
        <v>F</v>
      </c>
    </row>
    <row r="90" spans="2:34" ht="50.5" customHeight="1" x14ac:dyDescent="0.35">
      <c r="B90" s="107" t="s">
        <v>344</v>
      </c>
      <c r="C90" s="108" t="s">
        <v>345</v>
      </c>
      <c r="D90" s="106"/>
      <c r="E90" s="103"/>
      <c r="F90" s="103"/>
      <c r="G90" s="103" t="s">
        <v>12</v>
      </c>
      <c r="H90" s="103" t="s">
        <v>12</v>
      </c>
      <c r="I90" s="103"/>
      <c r="J90" s="103" t="s">
        <v>12</v>
      </c>
      <c r="K90" s="103"/>
      <c r="L90" s="103"/>
      <c r="M90" s="31" t="s">
        <v>346</v>
      </c>
      <c r="N90" s="161" t="s">
        <v>570</v>
      </c>
      <c r="O90" s="32" t="s">
        <v>347</v>
      </c>
      <c r="P90" s="31" t="s">
        <v>110</v>
      </c>
      <c r="Q90" s="36">
        <v>1</v>
      </c>
      <c r="R90" s="36">
        <v>1</v>
      </c>
      <c r="S90" s="36">
        <f t="shared" si="16"/>
        <v>2</v>
      </c>
      <c r="T90" s="36">
        <v>2</v>
      </c>
      <c r="U90" s="36">
        <f>VLOOKUP($T90,Cotation!$G$6:$H$10,2,(FALSE))</f>
        <v>5</v>
      </c>
      <c r="V90" s="33" t="str">
        <f>HLOOKUP($S90,Cotation!$I$5:$M$10,'Risk Register'!U90,(TRUE))</f>
        <v>F</v>
      </c>
      <c r="W90" s="31" t="s">
        <v>340</v>
      </c>
      <c r="X90" s="31" t="s">
        <v>104</v>
      </c>
      <c r="Y90" s="35" t="s">
        <v>591</v>
      </c>
      <c r="Z90" s="67">
        <v>0.25</v>
      </c>
      <c r="AA90" s="35" t="s">
        <v>305</v>
      </c>
      <c r="AB90" s="67">
        <v>0</v>
      </c>
      <c r="AC90" s="35" t="s">
        <v>305</v>
      </c>
      <c r="AD90" s="67">
        <v>0</v>
      </c>
      <c r="AE90" s="34">
        <v>1</v>
      </c>
      <c r="AF90" s="32">
        <v>1</v>
      </c>
      <c r="AG90" s="33" t="str">
        <f>HLOOKUP($AF90,Cotation!$I$5:$M$10,'Risk Register'!U90,(TRUE))</f>
        <v>F</v>
      </c>
    </row>
    <row r="91" spans="2:34" ht="78" customHeight="1" x14ac:dyDescent="0.35">
      <c r="B91" s="107" t="s">
        <v>136</v>
      </c>
      <c r="C91" s="108" t="s">
        <v>348</v>
      </c>
      <c r="D91" s="106"/>
      <c r="E91" s="103"/>
      <c r="F91" s="103"/>
      <c r="G91" s="103" t="s">
        <v>12</v>
      </c>
      <c r="H91" s="103" t="s">
        <v>12</v>
      </c>
      <c r="I91" s="103"/>
      <c r="J91" s="103" t="s">
        <v>12</v>
      </c>
      <c r="K91" s="103"/>
      <c r="L91" s="103"/>
      <c r="M91" s="31" t="s">
        <v>217</v>
      </c>
      <c r="N91" s="161" t="s">
        <v>571</v>
      </c>
      <c r="O91" s="32" t="s">
        <v>349</v>
      </c>
      <c r="P91" s="31" t="s">
        <v>110</v>
      </c>
      <c r="Q91" s="36">
        <v>3</v>
      </c>
      <c r="R91" s="36">
        <v>2</v>
      </c>
      <c r="S91" s="36">
        <f t="shared" si="16"/>
        <v>5</v>
      </c>
      <c r="T91" s="36">
        <v>4</v>
      </c>
      <c r="U91" s="36">
        <f>VLOOKUP($T91,Cotation!$G$6:$H$10,2,(FALSE))</f>
        <v>3</v>
      </c>
      <c r="V91" s="33" t="str">
        <f>HLOOKUP($S91,Cotation!$I$5:$M$10,'Risk Register'!U91,(TRUE))</f>
        <v>S</v>
      </c>
      <c r="W91" s="31" t="s">
        <v>350</v>
      </c>
      <c r="X91" s="170" t="s">
        <v>510</v>
      </c>
      <c r="Y91" s="35" t="s">
        <v>351</v>
      </c>
      <c r="Z91" s="67">
        <v>0.25</v>
      </c>
      <c r="AA91" s="35" t="s">
        <v>352</v>
      </c>
      <c r="AB91" s="67">
        <v>0.25</v>
      </c>
      <c r="AC91" s="165" t="s">
        <v>592</v>
      </c>
      <c r="AD91" s="67">
        <v>0.25</v>
      </c>
      <c r="AE91" s="34">
        <f t="shared" ref="AE91" si="35">100%-(Z91+AB91+AD91)</f>
        <v>0.25</v>
      </c>
      <c r="AF91" s="32">
        <f t="shared" ref="AF91" si="36">S91*AE91</f>
        <v>1.25</v>
      </c>
      <c r="AG91" s="33" t="str">
        <f>HLOOKUP($AF91,Cotation!$I$5:$M$10,'Risk Register'!U91,(TRUE))</f>
        <v>M</v>
      </c>
    </row>
    <row r="92" spans="2:34" ht="96.65" customHeight="1" x14ac:dyDescent="0.35">
      <c r="B92" s="107" t="s">
        <v>353</v>
      </c>
      <c r="C92" s="108" t="s">
        <v>354</v>
      </c>
      <c r="D92" s="106" t="s">
        <v>12</v>
      </c>
      <c r="E92" s="103" t="s">
        <v>12</v>
      </c>
      <c r="F92" s="103" t="s">
        <v>12</v>
      </c>
      <c r="G92" s="103" t="s">
        <v>12</v>
      </c>
      <c r="H92" s="103" t="s">
        <v>12</v>
      </c>
      <c r="I92" s="103" t="s">
        <v>12</v>
      </c>
      <c r="J92" s="103" t="s">
        <v>12</v>
      </c>
      <c r="K92" s="103" t="s">
        <v>12</v>
      </c>
      <c r="L92" s="103" t="s">
        <v>12</v>
      </c>
      <c r="M92" s="31" t="s">
        <v>355</v>
      </c>
      <c r="N92" s="161" t="s">
        <v>593</v>
      </c>
      <c r="O92" s="32" t="s">
        <v>356</v>
      </c>
      <c r="P92" s="31" t="s">
        <v>110</v>
      </c>
      <c r="Q92" s="36">
        <v>4</v>
      </c>
      <c r="R92" s="36">
        <v>4</v>
      </c>
      <c r="S92" s="36">
        <f t="shared" ref="S92" si="37">Q92+R92</f>
        <v>8</v>
      </c>
      <c r="T92" s="36">
        <v>3</v>
      </c>
      <c r="U92" s="36">
        <f>VLOOKUP($T92,Cotation!$G$6:$H$10,2,(FALSE))</f>
        <v>4</v>
      </c>
      <c r="V92" s="33" t="str">
        <f>HLOOKUP($S92,Cotation!$I$5:$M$10,'Risk Register'!U92,(TRUE))</f>
        <v>S</v>
      </c>
      <c r="W92" s="31" t="s">
        <v>305</v>
      </c>
      <c r="X92" s="31" t="s">
        <v>120</v>
      </c>
      <c r="Y92" s="35" t="s">
        <v>305</v>
      </c>
      <c r="Z92" s="67">
        <v>0</v>
      </c>
      <c r="AA92" s="35" t="s">
        <v>357</v>
      </c>
      <c r="AB92" s="67">
        <v>0</v>
      </c>
      <c r="AC92" s="35" t="s">
        <v>358</v>
      </c>
      <c r="AD92" s="67">
        <v>0.25</v>
      </c>
      <c r="AE92" s="34">
        <f t="shared" ref="AE92:AE93" si="38">100%-(Z92+AB92+AD92)</f>
        <v>0.75</v>
      </c>
      <c r="AF92" s="32">
        <f t="shared" ref="AF92:AF93" si="39">S92*AE92</f>
        <v>6</v>
      </c>
      <c r="AG92" s="33" t="str">
        <f>HLOOKUP($AF92,Cotation!$I$5:$M$10,'Risk Register'!U92,(TRUE))</f>
        <v>S</v>
      </c>
      <c r="AH92" s="35" t="s">
        <v>359</v>
      </c>
    </row>
    <row r="93" spans="2:34" ht="93" customHeight="1" x14ac:dyDescent="0.35">
      <c r="B93" s="107" t="s">
        <v>353</v>
      </c>
      <c r="C93" s="108" t="s">
        <v>360</v>
      </c>
      <c r="D93" s="106" t="s">
        <v>12</v>
      </c>
      <c r="E93" s="103" t="s">
        <v>12</v>
      </c>
      <c r="F93" s="103" t="s">
        <v>12</v>
      </c>
      <c r="G93" s="103" t="s">
        <v>12</v>
      </c>
      <c r="H93" s="103" t="s">
        <v>12</v>
      </c>
      <c r="I93" s="103" t="s">
        <v>12</v>
      </c>
      <c r="J93" s="103" t="s">
        <v>12</v>
      </c>
      <c r="K93" s="103" t="s">
        <v>12</v>
      </c>
      <c r="L93" s="103" t="s">
        <v>12</v>
      </c>
      <c r="M93" s="31" t="s">
        <v>361</v>
      </c>
      <c r="N93" s="161" t="s">
        <v>593</v>
      </c>
      <c r="O93" s="32" t="s">
        <v>356</v>
      </c>
      <c r="P93" s="31" t="s">
        <v>110</v>
      </c>
      <c r="Q93" s="36">
        <v>4</v>
      </c>
      <c r="R93" s="36">
        <v>4</v>
      </c>
      <c r="S93" s="36">
        <f t="shared" ref="S93" si="40">Q93+R93</f>
        <v>8</v>
      </c>
      <c r="T93" s="36">
        <v>3</v>
      </c>
      <c r="U93" s="36">
        <f>VLOOKUP($T93,Cotation!$G$6:$H$10,2,(FALSE))</f>
        <v>4</v>
      </c>
      <c r="V93" s="33" t="str">
        <f>HLOOKUP($S93,Cotation!$I$5:$M$10,'Risk Register'!U93,(TRUE))</f>
        <v>S</v>
      </c>
      <c r="W93" s="31" t="s">
        <v>305</v>
      </c>
      <c r="X93" s="31" t="s">
        <v>120</v>
      </c>
      <c r="Y93" s="35" t="s">
        <v>305</v>
      </c>
      <c r="Z93" s="67">
        <v>0</v>
      </c>
      <c r="AA93" s="35" t="s">
        <v>357</v>
      </c>
      <c r="AB93" s="67">
        <v>0</v>
      </c>
      <c r="AC93" s="35" t="s">
        <v>358</v>
      </c>
      <c r="AD93" s="67">
        <v>0.25</v>
      </c>
      <c r="AE93" s="34">
        <f t="shared" si="38"/>
        <v>0.75</v>
      </c>
      <c r="AF93" s="32">
        <f t="shared" si="39"/>
        <v>6</v>
      </c>
      <c r="AG93" s="33" t="str">
        <f>HLOOKUP($AF93,Cotation!$I$5:$M$10,'Risk Register'!U93,(TRUE))</f>
        <v>S</v>
      </c>
      <c r="AH93" s="35" t="s">
        <v>359</v>
      </c>
    </row>
    <row r="94" spans="2:34" ht="114" customHeight="1" x14ac:dyDescent="0.35">
      <c r="B94" s="107" t="s">
        <v>362</v>
      </c>
      <c r="C94" s="108" t="s">
        <v>363</v>
      </c>
      <c r="D94" s="106"/>
      <c r="E94" s="103"/>
      <c r="F94" s="103" t="s">
        <v>12</v>
      </c>
      <c r="G94" s="103" t="s">
        <v>12</v>
      </c>
      <c r="H94" s="103" t="s">
        <v>12</v>
      </c>
      <c r="I94" s="103"/>
      <c r="J94" s="103"/>
      <c r="K94" s="103"/>
      <c r="L94" s="103" t="s">
        <v>12</v>
      </c>
      <c r="M94" s="31" t="s">
        <v>364</v>
      </c>
      <c r="N94" s="161" t="s">
        <v>596</v>
      </c>
      <c r="O94" s="32" t="s">
        <v>356</v>
      </c>
      <c r="P94" s="31" t="s">
        <v>99</v>
      </c>
      <c r="Q94" s="36">
        <v>2</v>
      </c>
      <c r="R94" s="36">
        <v>2</v>
      </c>
      <c r="S94" s="36">
        <f t="shared" ref="S94:S96" si="41">Q94+R94</f>
        <v>4</v>
      </c>
      <c r="T94" s="36">
        <v>4</v>
      </c>
      <c r="U94" s="36">
        <f>VLOOKUP($T94,Cotation!$G$6:$H$10,2,(FALSE))</f>
        <v>3</v>
      </c>
      <c r="V94" s="33" t="str">
        <f>HLOOKUP($S94,Cotation!$I$5:$M$10,'Risk Register'!U94,(TRUE))</f>
        <v>S</v>
      </c>
      <c r="W94" s="31" t="s">
        <v>305</v>
      </c>
      <c r="X94" s="31" t="s">
        <v>120</v>
      </c>
      <c r="Y94" s="35" t="s">
        <v>305</v>
      </c>
      <c r="Z94" s="67">
        <v>0</v>
      </c>
      <c r="AA94" s="35" t="s">
        <v>305</v>
      </c>
      <c r="AB94" s="67">
        <v>0</v>
      </c>
      <c r="AC94" s="35" t="s">
        <v>365</v>
      </c>
      <c r="AD94" s="67">
        <v>0.25</v>
      </c>
      <c r="AE94" s="34">
        <f t="shared" ref="AE94:AE96" si="42">100%-(Z94+AB94+AD94)</f>
        <v>0.75</v>
      </c>
      <c r="AF94" s="32">
        <f t="shared" ref="AF94:AF96" si="43">S94*AE94</f>
        <v>3</v>
      </c>
      <c r="AG94" s="33" t="str">
        <f>HLOOKUP($AF94,Cotation!$I$5:$M$10,'Risk Register'!U94,(TRUE))</f>
        <v>M</v>
      </c>
      <c r="AH94" s="35" t="s">
        <v>366</v>
      </c>
    </row>
    <row r="95" spans="2:34" ht="114" customHeight="1" x14ac:dyDescent="0.35">
      <c r="B95" s="172" t="s">
        <v>577</v>
      </c>
      <c r="C95" s="108" t="s">
        <v>363</v>
      </c>
      <c r="D95" s="106"/>
      <c r="E95" s="103"/>
      <c r="F95" s="103" t="s">
        <v>12</v>
      </c>
      <c r="G95" s="103" t="s">
        <v>12</v>
      </c>
      <c r="H95" s="103" t="s">
        <v>12</v>
      </c>
      <c r="I95" s="103" t="s">
        <v>12</v>
      </c>
      <c r="J95" s="103" t="s">
        <v>12</v>
      </c>
      <c r="K95" s="103" t="s">
        <v>12</v>
      </c>
      <c r="L95" s="103"/>
      <c r="M95" s="31" t="s">
        <v>578</v>
      </c>
      <c r="N95" s="161" t="s">
        <v>596</v>
      </c>
      <c r="O95" s="167" t="s">
        <v>581</v>
      </c>
      <c r="P95" s="164" t="s">
        <v>99</v>
      </c>
      <c r="Q95" s="168">
        <v>2</v>
      </c>
      <c r="R95" s="168">
        <v>2</v>
      </c>
      <c r="S95" s="168">
        <f t="shared" ref="S95" si="44">Q95+R95</f>
        <v>4</v>
      </c>
      <c r="T95" s="168">
        <v>5</v>
      </c>
      <c r="U95" s="36">
        <f>VLOOKUP($T95,Cotation!$G$6:$H$10,2,(FALSE))</f>
        <v>2</v>
      </c>
      <c r="V95" s="33" t="str">
        <f>HLOOKUP($S95,Cotation!$I$5:$M$10,'Risk Register'!U95,(TRUE))</f>
        <v>S</v>
      </c>
      <c r="W95" s="164" t="s">
        <v>305</v>
      </c>
      <c r="X95" s="164" t="s">
        <v>120</v>
      </c>
      <c r="Y95" s="165" t="s">
        <v>580</v>
      </c>
      <c r="Z95" s="67">
        <v>0.25</v>
      </c>
      <c r="AA95" s="35"/>
      <c r="AB95" s="67">
        <v>0</v>
      </c>
      <c r="AC95" s="165" t="s">
        <v>579</v>
      </c>
      <c r="AD95" s="67">
        <v>0.1</v>
      </c>
      <c r="AE95" s="34">
        <f t="shared" si="42"/>
        <v>0.65</v>
      </c>
      <c r="AF95" s="32"/>
      <c r="AG95" s="33" t="str">
        <f>HLOOKUP($AF95,Cotation!$I$5:$M$10,'Risk Register'!U95,(TRUE))</f>
        <v>M</v>
      </c>
      <c r="AH95" s="35"/>
    </row>
    <row r="96" spans="2:34" ht="62.5" customHeight="1" x14ac:dyDescent="0.35">
      <c r="B96" s="107" t="s">
        <v>367</v>
      </c>
      <c r="C96" s="108" t="s">
        <v>368</v>
      </c>
      <c r="D96" s="106" t="s">
        <v>12</v>
      </c>
      <c r="E96" s="103" t="s">
        <v>12</v>
      </c>
      <c r="F96" s="103" t="s">
        <v>12</v>
      </c>
      <c r="G96" s="103" t="s">
        <v>12</v>
      </c>
      <c r="H96" s="103" t="s">
        <v>12</v>
      </c>
      <c r="I96" s="103" t="s">
        <v>12</v>
      </c>
      <c r="J96" s="103" t="s">
        <v>12</v>
      </c>
      <c r="K96" s="103" t="s">
        <v>12</v>
      </c>
      <c r="L96" s="103" t="s">
        <v>12</v>
      </c>
      <c r="M96" s="31" t="s">
        <v>364</v>
      </c>
      <c r="N96" s="161" t="s">
        <v>596</v>
      </c>
      <c r="O96" s="32" t="s">
        <v>356</v>
      </c>
      <c r="P96" s="31" t="s">
        <v>99</v>
      </c>
      <c r="Q96" s="36">
        <v>2</v>
      </c>
      <c r="R96" s="36">
        <v>2</v>
      </c>
      <c r="S96" s="36">
        <f t="shared" si="41"/>
        <v>4</v>
      </c>
      <c r="T96" s="36">
        <v>4</v>
      </c>
      <c r="U96" s="36">
        <f>VLOOKUP($T96,Cotation!$G$6:$H$10,2,(FALSE))</f>
        <v>3</v>
      </c>
      <c r="V96" s="33" t="str">
        <f>HLOOKUP($S96,Cotation!$I$5:$M$10,'Risk Register'!U96,(TRUE))</f>
        <v>S</v>
      </c>
      <c r="W96" s="31" t="s">
        <v>305</v>
      </c>
      <c r="X96" s="31" t="s">
        <v>120</v>
      </c>
      <c r="Y96" s="35" t="s">
        <v>305</v>
      </c>
      <c r="Z96" s="67">
        <v>0</v>
      </c>
      <c r="AA96" s="35" t="s">
        <v>305</v>
      </c>
      <c r="AB96" s="67">
        <v>0</v>
      </c>
      <c r="AC96" s="35" t="s">
        <v>369</v>
      </c>
      <c r="AD96" s="67">
        <v>0.25</v>
      </c>
      <c r="AE96" s="34">
        <f t="shared" si="42"/>
        <v>0.75</v>
      </c>
      <c r="AF96" s="32">
        <f t="shared" si="43"/>
        <v>3</v>
      </c>
      <c r="AG96" s="33" t="str">
        <f>HLOOKUP($AF96,Cotation!$I$5:$M$10,'Risk Register'!U96,(TRUE))</f>
        <v>M</v>
      </c>
      <c r="AH96" s="35"/>
    </row>
    <row r="97" spans="1:35" ht="193.9" customHeight="1" x14ac:dyDescent="0.35">
      <c r="B97" s="107" t="s">
        <v>370</v>
      </c>
      <c r="C97" s="108" t="s">
        <v>368</v>
      </c>
      <c r="D97" s="106" t="s">
        <v>12</v>
      </c>
      <c r="E97" s="103" t="s">
        <v>12</v>
      </c>
      <c r="F97" s="103" t="s">
        <v>12</v>
      </c>
      <c r="G97" s="103" t="s">
        <v>12</v>
      </c>
      <c r="H97" s="103" t="s">
        <v>12</v>
      </c>
      <c r="I97" s="103" t="s">
        <v>12</v>
      </c>
      <c r="J97" s="103" t="s">
        <v>12</v>
      </c>
      <c r="K97" s="103" t="s">
        <v>12</v>
      </c>
      <c r="L97" s="103" t="s">
        <v>12</v>
      </c>
      <c r="M97" s="31" t="s">
        <v>371</v>
      </c>
      <c r="N97" s="161" t="s">
        <v>593</v>
      </c>
      <c r="O97" s="32" t="s">
        <v>356</v>
      </c>
      <c r="P97" s="31" t="s">
        <v>110</v>
      </c>
      <c r="Q97" s="36">
        <v>3</v>
      </c>
      <c r="R97" s="36">
        <v>2</v>
      </c>
      <c r="S97" s="36">
        <f t="shared" ref="S97" si="45">Q97+R97</f>
        <v>5</v>
      </c>
      <c r="T97" s="36">
        <v>3</v>
      </c>
      <c r="U97" s="36">
        <f>VLOOKUP($T97,Cotation!$G$6:$H$10,2,(FALSE))</f>
        <v>4</v>
      </c>
      <c r="V97" s="33" t="str">
        <f>HLOOKUP($S97,Cotation!$I$5:$M$10,'Risk Register'!U97,(TRUE))</f>
        <v>M</v>
      </c>
      <c r="W97" s="31" t="s">
        <v>305</v>
      </c>
      <c r="X97" s="31" t="s">
        <v>120</v>
      </c>
      <c r="Y97" s="35" t="s">
        <v>372</v>
      </c>
      <c r="Z97" s="67">
        <v>0</v>
      </c>
      <c r="AA97" s="35" t="s">
        <v>373</v>
      </c>
      <c r="AB97" s="67">
        <v>0</v>
      </c>
      <c r="AC97" s="35" t="s">
        <v>374</v>
      </c>
      <c r="AD97" s="67">
        <v>0.1</v>
      </c>
      <c r="AE97" s="34">
        <f t="shared" ref="AE97" si="46">100%-(Z97+AB97+AD97)</f>
        <v>0.9</v>
      </c>
      <c r="AF97" s="32">
        <f t="shared" ref="AF97" si="47">S97*AE97</f>
        <v>4.5</v>
      </c>
      <c r="AG97" s="33" t="str">
        <f>HLOOKUP($AF97,Cotation!$I$5:$M$10,'Risk Register'!U97,(TRUE))</f>
        <v>M</v>
      </c>
      <c r="AH97" s="35"/>
    </row>
    <row r="98" spans="1:35" ht="69" x14ac:dyDescent="0.35">
      <c r="B98" s="164" t="s">
        <v>106</v>
      </c>
      <c r="C98" s="102" t="s">
        <v>443</v>
      </c>
      <c r="D98" s="105" t="s">
        <v>12</v>
      </c>
      <c r="E98" s="104" t="s">
        <v>12</v>
      </c>
      <c r="F98" s="104" t="s">
        <v>12</v>
      </c>
      <c r="G98" s="104" t="s">
        <v>12</v>
      </c>
      <c r="H98" s="104" t="s">
        <v>12</v>
      </c>
      <c r="I98" s="104" t="s">
        <v>12</v>
      </c>
      <c r="J98" s="104" t="s">
        <v>12</v>
      </c>
      <c r="K98" s="104" t="s">
        <v>12</v>
      </c>
      <c r="L98" s="104" t="s">
        <v>12</v>
      </c>
      <c r="M98" s="164" t="s">
        <v>108</v>
      </c>
      <c r="N98" s="161" t="s">
        <v>594</v>
      </c>
      <c r="O98" s="167" t="s">
        <v>445</v>
      </c>
      <c r="P98" s="164" t="s">
        <v>110</v>
      </c>
      <c r="Q98" s="168">
        <v>5</v>
      </c>
      <c r="R98" s="168">
        <v>4</v>
      </c>
      <c r="S98" s="169"/>
      <c r="T98" s="168">
        <v>5</v>
      </c>
      <c r="V98" s="33" t="str">
        <f>HLOOKUP($S97,Cotation!$I$5:$M$10,'Risk Register'!U97,(TRUE))</f>
        <v>M</v>
      </c>
      <c r="W98" s="164" t="s">
        <v>111</v>
      </c>
      <c r="X98" s="170" t="s">
        <v>439</v>
      </c>
      <c r="Y98" s="165" t="s">
        <v>446</v>
      </c>
      <c r="Z98" s="67">
        <v>0.25</v>
      </c>
      <c r="AA98" s="165" t="s">
        <v>113</v>
      </c>
      <c r="AB98" s="67">
        <v>0</v>
      </c>
      <c r="AC98" s="165" t="s">
        <v>440</v>
      </c>
      <c r="AD98" s="67">
        <v>0.25</v>
      </c>
      <c r="AE98" s="34">
        <f>100%-(Z98+AB98+AD98)</f>
        <v>0.5</v>
      </c>
      <c r="AG98" s="33" t="str">
        <f>HLOOKUP($AF97,Cotation!$I$5:$M$10,'Risk Register'!U97,(TRUE))</f>
        <v>M</v>
      </c>
      <c r="AH98" s="164" t="s">
        <v>441</v>
      </c>
    </row>
    <row r="99" spans="1:35" ht="114" customHeight="1" x14ac:dyDescent="0.35">
      <c r="A99" s="8"/>
      <c r="B99" s="172" t="s">
        <v>281</v>
      </c>
      <c r="C99" s="108" t="s">
        <v>539</v>
      </c>
      <c r="D99" s="106"/>
      <c r="E99" s="103"/>
      <c r="F99" s="103"/>
      <c r="G99" s="103"/>
      <c r="H99" s="103" t="s">
        <v>12</v>
      </c>
      <c r="I99" s="103" t="s">
        <v>12</v>
      </c>
      <c r="J99" s="103" t="s">
        <v>12</v>
      </c>
      <c r="K99" s="103"/>
      <c r="L99" s="103"/>
      <c r="M99" s="31" t="s">
        <v>283</v>
      </c>
      <c r="N99" s="161" t="s">
        <v>595</v>
      </c>
      <c r="O99" s="32" t="s">
        <v>538</v>
      </c>
      <c r="P99" s="31" t="s">
        <v>110</v>
      </c>
      <c r="Q99" s="36">
        <v>1</v>
      </c>
      <c r="R99" s="36">
        <v>1</v>
      </c>
      <c r="S99" s="36">
        <f t="shared" ref="S99" si="48">Q99+R99</f>
        <v>2</v>
      </c>
      <c r="T99" s="36">
        <v>3</v>
      </c>
      <c r="U99" s="36">
        <f>VLOOKUP($T99,Cotation!$G$6:$H$10,2,(FALSE))</f>
        <v>4</v>
      </c>
      <c r="V99" s="33" t="str">
        <f>HLOOKUP($S99,Cotation!$I$5:$M$10,'Risk Register'!U99,(TRUE))</f>
        <v>M</v>
      </c>
      <c r="W99" s="31"/>
      <c r="X99" s="170" t="s">
        <v>435</v>
      </c>
      <c r="Y99" s="165" t="s">
        <v>537</v>
      </c>
      <c r="Z99" s="67">
        <v>0.25</v>
      </c>
      <c r="AA99" s="165" t="s">
        <v>542</v>
      </c>
      <c r="AB99" s="67">
        <v>0.25</v>
      </c>
      <c r="AC99" s="165" t="s">
        <v>543</v>
      </c>
      <c r="AD99" s="67">
        <v>0.25</v>
      </c>
      <c r="AE99" s="34">
        <f t="shared" ref="AE99" si="49">100%-(Z99+AB99+AD99)</f>
        <v>0.25</v>
      </c>
      <c r="AF99" s="32">
        <f t="shared" ref="AF99" si="50">S99*AE99</f>
        <v>0.5</v>
      </c>
      <c r="AG99" s="33" t="str">
        <f>HLOOKUP($AF99,Cotation!$I$5:$M$10,'Risk Register'!U99,(TRUE))</f>
        <v>F</v>
      </c>
      <c r="AH99" s="31"/>
      <c r="AI99" s="9"/>
    </row>
    <row r="100" spans="1:35" ht="114" customHeight="1" x14ac:dyDescent="0.35">
      <c r="A100" s="8"/>
      <c r="B100" s="172" t="s">
        <v>281</v>
      </c>
      <c r="C100" s="108" t="s">
        <v>540</v>
      </c>
      <c r="D100" s="106"/>
      <c r="E100" s="103"/>
      <c r="F100" s="103"/>
      <c r="G100" s="103"/>
      <c r="H100" s="103" t="s">
        <v>12</v>
      </c>
      <c r="I100" s="103" t="s">
        <v>12</v>
      </c>
      <c r="J100" s="103" t="s">
        <v>12</v>
      </c>
      <c r="K100" s="103"/>
      <c r="L100" s="103"/>
      <c r="M100" s="31" t="s">
        <v>283</v>
      </c>
      <c r="N100" s="161" t="s">
        <v>595</v>
      </c>
      <c r="O100" s="32" t="s">
        <v>284</v>
      </c>
      <c r="P100" s="31" t="s">
        <v>110</v>
      </c>
      <c r="Q100" s="36">
        <v>1</v>
      </c>
      <c r="R100" s="36">
        <v>1</v>
      </c>
      <c r="S100" s="36">
        <f t="shared" ref="S100" si="51">Q100+R100</f>
        <v>2</v>
      </c>
      <c r="T100" s="36">
        <v>3</v>
      </c>
      <c r="U100" s="36">
        <f>VLOOKUP($T100,Cotation!$G$6:$H$10,2,(FALSE))</f>
        <v>4</v>
      </c>
      <c r="V100" s="33" t="str">
        <f>HLOOKUP($S100,Cotation!$I$5:$M$10,'Risk Register'!U100,(TRUE))</f>
        <v>M</v>
      </c>
      <c r="W100" s="31"/>
      <c r="X100" s="170" t="s">
        <v>435</v>
      </c>
      <c r="Y100" s="165" t="s">
        <v>537</v>
      </c>
      <c r="Z100" s="67">
        <v>0.25</v>
      </c>
      <c r="AA100" s="165" t="s">
        <v>541</v>
      </c>
      <c r="AB100" s="67">
        <v>0.25</v>
      </c>
      <c r="AC100" s="165" t="s">
        <v>543</v>
      </c>
      <c r="AD100" s="67">
        <v>0.25</v>
      </c>
      <c r="AE100" s="34">
        <f t="shared" ref="AE100" si="52">100%-(Z100+AB100+AD100)</f>
        <v>0.25</v>
      </c>
      <c r="AF100" s="32">
        <f t="shared" ref="AF100" si="53">S100*AE100</f>
        <v>0.5</v>
      </c>
      <c r="AG100" s="33" t="str">
        <f>HLOOKUP($AF100,Cotation!$I$5:$M$10,'Risk Register'!U100,(TRUE))</f>
        <v>F</v>
      </c>
      <c r="AH100" s="31"/>
      <c r="AI100" s="9"/>
    </row>
    <row r="101" spans="1:35" ht="114" customHeight="1" x14ac:dyDescent="0.35">
      <c r="A101" s="8"/>
      <c r="B101" s="172" t="s">
        <v>564</v>
      </c>
      <c r="C101" s="108" t="s">
        <v>565</v>
      </c>
      <c r="D101" s="106" t="s">
        <v>12</v>
      </c>
      <c r="E101" s="103" t="s">
        <v>12</v>
      </c>
      <c r="F101" s="103" t="s">
        <v>12</v>
      </c>
      <c r="G101" s="103"/>
      <c r="H101" s="103"/>
      <c r="I101" s="103"/>
      <c r="J101" s="103"/>
      <c r="K101" s="103"/>
      <c r="L101" s="103"/>
      <c r="M101" s="31" t="s">
        <v>563</v>
      </c>
      <c r="N101" s="161" t="s">
        <v>575</v>
      </c>
      <c r="O101" s="32" t="s">
        <v>597</v>
      </c>
      <c r="P101" s="31" t="s">
        <v>99</v>
      </c>
      <c r="Q101" s="36">
        <v>1</v>
      </c>
      <c r="R101" s="36">
        <v>1</v>
      </c>
      <c r="S101" s="36">
        <f t="shared" ref="S101" si="54">Q101+R101</f>
        <v>2</v>
      </c>
      <c r="T101" s="36">
        <v>3</v>
      </c>
      <c r="U101" s="36">
        <f>VLOOKUP($T101,Cotation!$G$6:$H$10,2,(FALSE))</f>
        <v>4</v>
      </c>
      <c r="V101" s="33" t="str">
        <f>HLOOKUP($S101,Cotation!$I$5:$M$10,'Risk Register'!U101,(TRUE))</f>
        <v>M</v>
      </c>
      <c r="W101" s="31" t="s">
        <v>566</v>
      </c>
      <c r="X101" s="170" t="s">
        <v>435</v>
      </c>
      <c r="Y101" s="164" t="s">
        <v>566</v>
      </c>
      <c r="Z101" s="67">
        <v>0.25</v>
      </c>
      <c r="AA101" s="165" t="s">
        <v>567</v>
      </c>
      <c r="AB101" s="67">
        <v>0.25</v>
      </c>
      <c r="AC101" s="165" t="s">
        <v>598</v>
      </c>
      <c r="AD101" s="67">
        <v>0.1</v>
      </c>
      <c r="AE101" s="34">
        <f t="shared" ref="AE101" si="55">100%-(Z101+AB101+AD101)</f>
        <v>0.4</v>
      </c>
      <c r="AF101" s="32">
        <f t="shared" ref="AF101" si="56">S101*AE101</f>
        <v>0.8</v>
      </c>
      <c r="AG101" s="33" t="str">
        <f>HLOOKUP($AF101,Cotation!$I$5:$M$10,'Risk Register'!U101,(TRUE))</f>
        <v>F</v>
      </c>
      <c r="AH101" s="31"/>
      <c r="AI101" s="9"/>
    </row>
  </sheetData>
  <autoFilter ref="A9:AR101" xr:uid="{5047370C-179C-4708-9931-D0EA0C01AC9E}">
    <filterColumn colId="24" showButton="0"/>
    <filterColumn colId="26" showButton="0"/>
    <filterColumn colId="28" showButton="0"/>
    <sortState xmlns:xlrd2="http://schemas.microsoft.com/office/spreadsheetml/2017/richdata2" ref="A10:AR87">
      <sortCondition descending="1" ref="Y9:Y87"/>
    </sortState>
  </autoFilter>
  <mergeCells count="10">
    <mergeCell ref="B1:AI1"/>
    <mergeCell ref="B2:AI2"/>
    <mergeCell ref="Y9:Z9"/>
    <mergeCell ref="Z3:AD3"/>
    <mergeCell ref="Z6:AD6"/>
    <mergeCell ref="W7:AF7"/>
    <mergeCell ref="O4:AD4"/>
    <mergeCell ref="D8:L8"/>
    <mergeCell ref="B4:K4"/>
    <mergeCell ref="B6:K6"/>
  </mergeCells>
  <phoneticPr fontId="6" type="noConversion"/>
  <conditionalFormatting sqref="V10:V101 AG10:AG101">
    <cfRule type="containsText" dxfId="7" priority="5" stopIfTrue="1" operator="containsText" text="F">
      <formula>NOT(ISERROR(SEARCH("F",V10)))</formula>
    </cfRule>
    <cfRule type="containsText" dxfId="6" priority="6" stopIfTrue="1" operator="containsText" text="M">
      <formula>NOT(ISERROR(SEARCH("M",V10)))</formula>
    </cfRule>
    <cfRule type="containsText" dxfId="5" priority="7" stopIfTrue="1" operator="containsText" text="S">
      <formula>NOT(ISERROR(SEARCH("S",V10)))</formula>
    </cfRule>
    <cfRule type="containsText" dxfId="4" priority="8" stopIfTrue="1" operator="containsText" text="C">
      <formula>NOT(ISERROR(SEARCH("C",V10)))</formula>
    </cfRule>
  </conditionalFormatting>
  <pageMargins left="0.7" right="0.7" top="0.75" bottom="0.75" header="0.3" footer="0.3"/>
  <colBreaks count="1" manualBreakCount="1">
    <brk id="15" max="81" man="1"/>
  </colBreaks>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B1D0E8C7-A3B6-4585-9B49-35CD1A7B687E}">
          <x14:formula1>
            <xm:f>Cotation!$B$26:$B$28</xm:f>
          </x14:formula1>
          <xm:sqref>AB10:AB101 Z10:Z101 AD10:AD101</xm:sqref>
        </x14:dataValidation>
        <x14:dataValidation type="list" allowBlank="1" showInputMessage="1" showErrorMessage="1" xr:uid="{DE8C64CC-9B0E-4B6C-AE16-701192E2D0EE}">
          <x14:formula1>
            <xm:f>Cotation!$B$10:$B$14</xm:f>
          </x14:formula1>
          <xm:sqref>Q98:Q101 Q10:Q87 R10:R195</xm:sqref>
        </x14:dataValidation>
        <x14:dataValidation type="list" allowBlank="1" showInputMessage="1" showErrorMessage="1" xr:uid="{A1751619-69A8-4244-A7D7-7C70F2D7EEC2}">
          <x14:formula1>
            <xm:f>Cotation!$B$17:$B$21</xm:f>
          </x14:formula1>
          <xm:sqref>T10:T332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B11AD-E498-433E-BB2F-E9AC9035801E}">
  <dimension ref="B2:M38"/>
  <sheetViews>
    <sheetView workbookViewId="0">
      <selection activeCell="C13" sqref="C13"/>
    </sheetView>
  </sheetViews>
  <sheetFormatPr baseColWidth="10" defaultColWidth="11.453125" defaultRowHeight="14.5" x14ac:dyDescent="0.35"/>
  <cols>
    <col min="1" max="1" width="2" customWidth="1"/>
    <col min="2" max="2" width="11.7265625" customWidth="1"/>
    <col min="3" max="3" width="18.453125" customWidth="1"/>
    <col min="4" max="4" width="48" customWidth="1"/>
    <col min="5" max="5" width="4.81640625" customWidth="1"/>
    <col min="6" max="6" width="17.7265625" customWidth="1"/>
    <col min="7" max="8" width="11.54296875" customWidth="1"/>
  </cols>
  <sheetData>
    <row r="2" spans="2:13" x14ac:dyDescent="0.35">
      <c r="B2" s="148" t="s">
        <v>375</v>
      </c>
      <c r="C2" s="149"/>
      <c r="D2" s="150"/>
    </row>
    <row r="3" spans="2:13" x14ac:dyDescent="0.35">
      <c r="B3" s="54">
        <v>1</v>
      </c>
      <c r="C3" s="11" t="s">
        <v>376</v>
      </c>
      <c r="D3" s="11" t="s">
        <v>377</v>
      </c>
      <c r="F3" s="146" t="s">
        <v>378</v>
      </c>
      <c r="G3" s="146"/>
      <c r="H3" s="146"/>
      <c r="I3" s="145" t="s">
        <v>379</v>
      </c>
      <c r="J3" s="145"/>
      <c r="K3" s="145"/>
      <c r="L3" s="145"/>
      <c r="M3" s="145"/>
    </row>
    <row r="4" spans="2:13" x14ac:dyDescent="0.35">
      <c r="B4" s="54">
        <v>2</v>
      </c>
      <c r="C4" s="11" t="s">
        <v>380</v>
      </c>
      <c r="D4" s="11" t="s">
        <v>381</v>
      </c>
      <c r="F4" s="147"/>
      <c r="G4" s="147"/>
      <c r="H4" s="147"/>
      <c r="I4" s="16" t="s">
        <v>382</v>
      </c>
      <c r="J4" s="16" t="s">
        <v>383</v>
      </c>
      <c r="K4" s="16" t="s">
        <v>384</v>
      </c>
      <c r="L4" s="16" t="s">
        <v>385</v>
      </c>
      <c r="M4" s="16" t="s">
        <v>386</v>
      </c>
    </row>
    <row r="5" spans="2:13" x14ac:dyDescent="0.35">
      <c r="B5" s="54">
        <v>3</v>
      </c>
      <c r="C5" s="11" t="s">
        <v>387</v>
      </c>
      <c r="D5" s="11" t="s">
        <v>388</v>
      </c>
      <c r="F5" s="13"/>
      <c r="G5" s="14"/>
      <c r="H5" s="15">
        <v>1</v>
      </c>
      <c r="I5" s="21">
        <v>0</v>
      </c>
      <c r="J5" s="21">
        <v>2</v>
      </c>
      <c r="K5" s="21">
        <v>4</v>
      </c>
      <c r="L5" s="21">
        <v>6</v>
      </c>
      <c r="M5" s="21">
        <v>8</v>
      </c>
    </row>
    <row r="6" spans="2:13" ht="17.5" x14ac:dyDescent="0.35">
      <c r="B6" s="54">
        <v>4</v>
      </c>
      <c r="C6" s="11" t="s">
        <v>389</v>
      </c>
      <c r="D6" s="11" t="s">
        <v>390</v>
      </c>
      <c r="F6" s="59" t="s">
        <v>391</v>
      </c>
      <c r="G6" s="14">
        <v>5</v>
      </c>
      <c r="H6" s="15">
        <v>2</v>
      </c>
      <c r="I6" s="17" t="s">
        <v>392</v>
      </c>
      <c r="J6" s="18" t="s">
        <v>393</v>
      </c>
      <c r="K6" s="18" t="s">
        <v>393</v>
      </c>
      <c r="L6" s="19" t="s">
        <v>394</v>
      </c>
      <c r="M6" s="19" t="s">
        <v>394</v>
      </c>
    </row>
    <row r="7" spans="2:13" ht="17.5" x14ac:dyDescent="0.35">
      <c r="B7" s="54">
        <v>5</v>
      </c>
      <c r="C7" s="11" t="s">
        <v>395</v>
      </c>
      <c r="D7" s="11" t="s">
        <v>396</v>
      </c>
      <c r="F7" s="59" t="s">
        <v>397</v>
      </c>
      <c r="G7" s="14">
        <v>4</v>
      </c>
      <c r="H7" s="15">
        <v>3</v>
      </c>
      <c r="I7" s="17" t="s">
        <v>392</v>
      </c>
      <c r="J7" s="17" t="s">
        <v>392</v>
      </c>
      <c r="K7" s="18" t="s">
        <v>393</v>
      </c>
      <c r="L7" s="18" t="s">
        <v>393</v>
      </c>
      <c r="M7" s="19" t="s">
        <v>394</v>
      </c>
    </row>
    <row r="8" spans="2:13" ht="17.5" x14ac:dyDescent="0.35">
      <c r="F8" s="59" t="s">
        <v>398</v>
      </c>
      <c r="G8" s="14">
        <v>3</v>
      </c>
      <c r="H8" s="15">
        <v>4</v>
      </c>
      <c r="I8" s="20" t="s">
        <v>399</v>
      </c>
      <c r="J8" s="17" t="s">
        <v>392</v>
      </c>
      <c r="K8" s="17" t="s">
        <v>392</v>
      </c>
      <c r="L8" s="18" t="s">
        <v>393</v>
      </c>
      <c r="M8" s="18" t="s">
        <v>393</v>
      </c>
    </row>
    <row r="9" spans="2:13" ht="17.5" x14ac:dyDescent="0.35">
      <c r="B9" s="148" t="s">
        <v>400</v>
      </c>
      <c r="C9" s="149"/>
      <c r="D9" s="150"/>
      <c r="F9" s="59" t="s">
        <v>401</v>
      </c>
      <c r="G9" s="14">
        <v>2</v>
      </c>
      <c r="H9" s="15">
        <v>5</v>
      </c>
      <c r="I9" s="20" t="s">
        <v>399</v>
      </c>
      <c r="J9" s="20" t="s">
        <v>399</v>
      </c>
      <c r="K9" s="17" t="s">
        <v>392</v>
      </c>
      <c r="L9" s="17" t="s">
        <v>392</v>
      </c>
      <c r="M9" s="18" t="s">
        <v>393</v>
      </c>
    </row>
    <row r="10" spans="2:13" ht="17.5" x14ac:dyDescent="0.35">
      <c r="B10" s="54">
        <v>1</v>
      </c>
      <c r="C10" s="55" t="s">
        <v>402</v>
      </c>
      <c r="D10" s="56" t="s">
        <v>403</v>
      </c>
      <c r="F10" s="59" t="s">
        <v>404</v>
      </c>
      <c r="G10" s="14">
        <v>1</v>
      </c>
      <c r="H10" s="15">
        <v>6</v>
      </c>
      <c r="I10" s="20" t="s">
        <v>399</v>
      </c>
      <c r="J10" s="20" t="s">
        <v>399</v>
      </c>
      <c r="K10" s="20" t="s">
        <v>399</v>
      </c>
      <c r="L10" s="17" t="s">
        <v>392</v>
      </c>
      <c r="M10" s="17" t="s">
        <v>392</v>
      </c>
    </row>
    <row r="11" spans="2:13" x14ac:dyDescent="0.35">
      <c r="B11" s="54">
        <v>2</v>
      </c>
      <c r="C11" s="55" t="s">
        <v>405</v>
      </c>
      <c r="D11" s="56" t="s">
        <v>406</v>
      </c>
    </row>
    <row r="12" spans="2:13" x14ac:dyDescent="0.35">
      <c r="B12" s="54">
        <v>3</v>
      </c>
      <c r="C12" s="55" t="s">
        <v>407</v>
      </c>
      <c r="D12" s="56" t="s">
        <v>408</v>
      </c>
    </row>
    <row r="13" spans="2:13" x14ac:dyDescent="0.35">
      <c r="B13" s="54">
        <v>4</v>
      </c>
      <c r="C13" s="55" t="s">
        <v>409</v>
      </c>
      <c r="D13" s="56" t="s">
        <v>410</v>
      </c>
    </row>
    <row r="14" spans="2:13" x14ac:dyDescent="0.35">
      <c r="B14" s="54">
        <v>5</v>
      </c>
      <c r="C14" s="55" t="s">
        <v>411</v>
      </c>
      <c r="D14" s="56" t="s">
        <v>412</v>
      </c>
    </row>
    <row r="16" spans="2:13" x14ac:dyDescent="0.35">
      <c r="B16" s="144" t="s">
        <v>413</v>
      </c>
      <c r="C16" s="144"/>
      <c r="D16" s="144"/>
    </row>
    <row r="17" spans="2:4" ht="25.9" customHeight="1" x14ac:dyDescent="0.35">
      <c r="B17" s="54">
        <v>1</v>
      </c>
      <c r="C17" s="12" t="s">
        <v>414</v>
      </c>
      <c r="D17" s="58" t="s">
        <v>415</v>
      </c>
    </row>
    <row r="18" spans="2:4" ht="25.9" customHeight="1" x14ac:dyDescent="0.35">
      <c r="B18" s="54">
        <v>2</v>
      </c>
      <c r="C18" s="37" t="s">
        <v>416</v>
      </c>
      <c r="D18" s="57" t="s">
        <v>417</v>
      </c>
    </row>
    <row r="19" spans="2:4" ht="25.9" customHeight="1" x14ac:dyDescent="0.35">
      <c r="B19" s="54">
        <v>3</v>
      </c>
      <c r="C19" s="37" t="s">
        <v>418</v>
      </c>
      <c r="D19" s="57" t="s">
        <v>419</v>
      </c>
    </row>
    <row r="20" spans="2:4" ht="25.9" customHeight="1" x14ac:dyDescent="0.35">
      <c r="B20" s="54">
        <v>4</v>
      </c>
      <c r="C20" s="37" t="s">
        <v>397</v>
      </c>
      <c r="D20" s="57" t="s">
        <v>420</v>
      </c>
    </row>
    <row r="21" spans="2:4" ht="25.9" customHeight="1" x14ac:dyDescent="0.35">
      <c r="B21" s="54">
        <v>5</v>
      </c>
      <c r="C21" s="37" t="s">
        <v>391</v>
      </c>
      <c r="D21" s="57" t="s">
        <v>421</v>
      </c>
    </row>
    <row r="25" spans="2:4" x14ac:dyDescent="0.35">
      <c r="B25" s="155" t="s">
        <v>422</v>
      </c>
      <c r="C25" s="155"/>
      <c r="D25" s="155"/>
    </row>
    <row r="26" spans="2:4" ht="18.5" x14ac:dyDescent="0.45">
      <c r="B26" s="53">
        <v>0</v>
      </c>
      <c r="C26" s="30" t="s">
        <v>423</v>
      </c>
      <c r="D26" s="6"/>
    </row>
    <row r="27" spans="2:4" ht="18.5" x14ac:dyDescent="0.45">
      <c r="B27" s="53">
        <v>0.1</v>
      </c>
      <c r="C27" s="30" t="s">
        <v>424</v>
      </c>
      <c r="D27" s="6"/>
    </row>
    <row r="28" spans="2:4" ht="18.5" x14ac:dyDescent="0.45">
      <c r="B28" s="53">
        <v>0.25</v>
      </c>
      <c r="C28" s="30" t="s">
        <v>425</v>
      </c>
      <c r="D28" s="6"/>
    </row>
    <row r="30" spans="2:4" x14ac:dyDescent="0.35">
      <c r="B30" s="156" t="s">
        <v>426</v>
      </c>
      <c r="C30" s="157"/>
      <c r="D30" s="158"/>
    </row>
    <row r="31" spans="2:4" x14ac:dyDescent="0.35">
      <c r="B31" s="60">
        <v>0</v>
      </c>
      <c r="C31" s="151" t="s">
        <v>427</v>
      </c>
      <c r="D31" s="151"/>
    </row>
    <row r="32" spans="2:4" x14ac:dyDescent="0.35">
      <c r="B32" s="53">
        <v>0.1</v>
      </c>
      <c r="C32" s="151" t="s">
        <v>428</v>
      </c>
      <c r="D32" s="151"/>
    </row>
    <row r="33" spans="2:4" x14ac:dyDescent="0.35">
      <c r="B33" s="53">
        <v>0.25</v>
      </c>
      <c r="C33" s="151" t="s">
        <v>429</v>
      </c>
      <c r="D33" s="151"/>
    </row>
    <row r="35" spans="2:4" x14ac:dyDescent="0.35">
      <c r="B35" s="152" t="s">
        <v>89</v>
      </c>
      <c r="C35" s="153"/>
      <c r="D35" s="154"/>
    </row>
    <row r="36" spans="2:4" x14ac:dyDescent="0.35">
      <c r="B36" s="60">
        <v>0</v>
      </c>
      <c r="C36" s="151" t="s">
        <v>430</v>
      </c>
      <c r="D36" s="151"/>
    </row>
    <row r="37" spans="2:4" x14ac:dyDescent="0.35">
      <c r="B37" s="53">
        <v>0.1</v>
      </c>
      <c r="C37" s="151" t="s">
        <v>431</v>
      </c>
      <c r="D37" s="151"/>
    </row>
    <row r="38" spans="2:4" x14ac:dyDescent="0.35">
      <c r="B38" s="53">
        <v>0.25</v>
      </c>
      <c r="C38" s="151" t="s">
        <v>432</v>
      </c>
      <c r="D38" s="151"/>
    </row>
  </sheetData>
  <mergeCells count="14">
    <mergeCell ref="C36:D36"/>
    <mergeCell ref="C37:D37"/>
    <mergeCell ref="C38:D38"/>
    <mergeCell ref="B35:D35"/>
    <mergeCell ref="B25:D25"/>
    <mergeCell ref="B30:D30"/>
    <mergeCell ref="C31:D31"/>
    <mergeCell ref="C32:D32"/>
    <mergeCell ref="C33:D33"/>
    <mergeCell ref="B16:D16"/>
    <mergeCell ref="I3:M3"/>
    <mergeCell ref="F3:H4"/>
    <mergeCell ref="B2:D2"/>
    <mergeCell ref="B9:D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A20C4214F4DA43AAD6A1CE93EDBBC9" ma:contentTypeVersion="20" ma:contentTypeDescription="Create a new document." ma:contentTypeScope="" ma:versionID="c6119a38e409211046cd84f5baf3f066">
  <xsd:schema xmlns:xsd="http://www.w3.org/2001/XMLSchema" xmlns:xs="http://www.w3.org/2001/XMLSchema" xmlns:p="http://schemas.microsoft.com/office/2006/metadata/properties" xmlns:ns2="f4602cd9-1db6-44cc-8ef5-b52a1d4dc8ec" xmlns:ns3="035e240f-04ae-4c60-9dd8-38ddb55a8483" xmlns:ns4="afebe98a-ad4d-4bfc-ac9d-294564d51e1d" targetNamespace="http://schemas.microsoft.com/office/2006/metadata/properties" ma:root="true" ma:fieldsID="eb212c4407042a824bd4de3f640ebb04" ns2:_="" ns3:_="" ns4:_="">
    <xsd:import namespace="f4602cd9-1db6-44cc-8ef5-b52a1d4dc8ec"/>
    <xsd:import namespace="035e240f-04ae-4c60-9dd8-38ddb55a8483"/>
    <xsd:import namespace="afebe98a-ad4d-4bfc-ac9d-294564d51e1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LengthInSeconds" minOccurs="0"/>
                <xsd:element ref="ns3:SharedWithUsers" minOccurs="0"/>
                <xsd:element ref="ns3:SharedWithDetails" minOccurs="0"/>
                <xsd:element ref="ns2:MediaServiceGenerationTime" minOccurs="0"/>
                <xsd:element ref="ns2:MediaServiceEventHashCode" minOccurs="0"/>
                <xsd:element ref="ns2:MediaServiceOCR" minOccurs="0"/>
                <xsd:element ref="ns4:TaxCatchAll" minOccurs="0"/>
                <xsd:element ref="ns2:lcf76f155ced4ddcb4097134ff3c332f"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602cd9-1db6-44cc-8ef5-b52a1d4dc8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9d3f478-4f1e-489e-aec6-b8552e7cfc20"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5e240f-04ae-4c60-9dd8-38ddb55a8483"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febe98a-ad4d-4bfc-ac9d-294564d51e1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502ee39-c607-4313-9a73-b6570e512900}" ma:internalName="TaxCatchAll" ma:showField="CatchAllData" ma:web="035e240f-04ae-4c60-9dd8-38ddb55a84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602cd9-1db6-44cc-8ef5-b52a1d4dc8ec">
      <Terms xmlns="http://schemas.microsoft.com/office/infopath/2007/PartnerControls"/>
    </lcf76f155ced4ddcb4097134ff3c332f>
    <TaxCatchAll xmlns="afebe98a-ad4d-4bfc-ac9d-294564d51e1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841EFF-687F-4C6D-B63D-66F82F91B4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602cd9-1db6-44cc-8ef5-b52a1d4dc8ec"/>
    <ds:schemaRef ds:uri="035e240f-04ae-4c60-9dd8-38ddb55a8483"/>
    <ds:schemaRef ds:uri="afebe98a-ad4d-4bfc-ac9d-294564d51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D53847C-2B06-493C-94DF-D9FD49970798}">
  <ds:schemaRefs>
    <ds:schemaRef ds:uri="afebe98a-ad4d-4bfc-ac9d-294564d51e1d"/>
    <ds:schemaRef ds:uri="http://schemas.microsoft.com/office/2006/documentManagement/types"/>
    <ds:schemaRef ds:uri="http://purl.org/dc/dcmitype/"/>
    <ds:schemaRef ds:uri="http://schemas.microsoft.com/office/2006/metadata/properties"/>
    <ds:schemaRef ds:uri="http://purl.org/dc/terms/"/>
    <ds:schemaRef ds:uri="http://schemas.openxmlformats.org/package/2006/metadata/core-properties"/>
    <ds:schemaRef ds:uri="http://www.w3.org/XML/1998/namespace"/>
    <ds:schemaRef ds:uri="http://purl.org/dc/elements/1.1/"/>
    <ds:schemaRef ds:uri="http://schemas.microsoft.com/office/infopath/2007/PartnerControls"/>
    <ds:schemaRef ds:uri="035e240f-04ae-4c60-9dd8-38ddb55a8483"/>
    <ds:schemaRef ds:uri="f4602cd9-1db6-44cc-8ef5-b52a1d4dc8ec"/>
  </ds:schemaRefs>
</ds:datastoreItem>
</file>

<file path=customXml/itemProps3.xml><?xml version="1.0" encoding="utf-8"?>
<ds:datastoreItem xmlns:ds="http://schemas.openxmlformats.org/officeDocument/2006/customXml" ds:itemID="{A8CFE11C-5098-416B-AC37-8F8E63A13C7A}">
  <ds:schemaRefs>
    <ds:schemaRef ds:uri="http://schemas.microsoft.com/sharepoint/v3/contenttype/forms"/>
  </ds:schemaRefs>
</ds:datastoreItem>
</file>

<file path=docMetadata/LabelInfo.xml><?xml version="1.0" encoding="utf-8"?>
<clbl:labelList xmlns:clbl="http://schemas.microsoft.com/office/2020/mipLabelMetadata">
  <clbl:label id="{bb24e89f-6132-424b-9c64-0340397f5d20}" enabled="1" method="Privileged" siteId="{0159e9d0-09a0-4edf-96ba-a3deea363c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Page de garde</vt:lpstr>
      <vt:lpstr>Risk Register</vt:lpstr>
      <vt:lpstr>Cotation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Bernard, Nicolas @ Courbevoie</dc:creator>
  <cp:keywords/>
  <dc:description/>
  <cp:lastModifiedBy>Cordonnier, Matthieu @ La Haie-Fouassire</cp:lastModifiedBy>
  <cp:revision/>
  <dcterms:created xsi:type="dcterms:W3CDTF">2024-08-26T07:52:07Z</dcterms:created>
  <dcterms:modified xsi:type="dcterms:W3CDTF">2026-07-07T07:20:38Z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0x010100C2A20C4214F4DA43AAD6A1CE93EDBBC9</vt:lpwstr>
  </property>
  <property fmtid="{D5CDD505-2E9C-101B-9397-08002B2CF9AE}" pid="3" name="MediaServiceImageTags">
    <vt:lpwstr/>
  </property>
</Properties>
</file>